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wnloads\"/>
    </mc:Choice>
  </mc:AlternateContent>
  <bookViews>
    <workbookView xWindow="0" yWindow="0" windowWidth="23040" windowHeight="9072" activeTab="3"/>
  </bookViews>
  <sheets>
    <sheet name="dataset_bike_buyers" sheetId="1" r:id="rId1"/>
    <sheet name="Working Sheet" sheetId="4" r:id="rId2"/>
    <sheet name="Pivot Table" sheetId="3" r:id="rId3"/>
    <sheet name="Dasboard" sheetId="2" r:id="rId4"/>
  </sheets>
  <definedNames>
    <definedName name="_xlnm._FilterDatabase" localSheetId="0" hidden="1">dataset_bike_buyers!$A$1:$M$1001</definedName>
    <definedName name="_xlnm._FilterDatabase" localSheetId="1" hidden="1">'Working Sheet'!$A$1:$N$1</definedName>
    <definedName name="Slicer_Education">#N/A</definedName>
    <definedName name="Slicer_Maritial_Status">#N/A</definedName>
    <definedName name="Slicer_Region">#N/A</definedName>
  </definedNames>
  <calcPr calcId="162913"/>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<sst xmlns="http://schemas.openxmlformats.org/spreadsheetml/2006/main" count="16274" uniqueCount="52">
  <si>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</si>
  <si>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</si>
  <si>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</si>
  <si>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</si>
  <si>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</si>
  <si>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</si>
  <si>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</si>
  <si>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</si>
  <si>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</si>
  <si>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</si>
  <si>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</si>
  <si>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</si>
  <si>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</si>
  <si>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</si>
  <si>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</si>
  <si>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</si>
  <si>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</si>
  <si>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</si>
  <si>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</si>
  <si>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</si>
  <si>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</si>
  <si>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</si>
  <si>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</si>
  <si>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</si>
  <si>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</si>
  <si>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</si>
  <si>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</si>
  <si>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</si>
  <si>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</si>
  <si>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</si>
  <si>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</si>
  <si>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</si>
  <si>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</si>
  <si>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</si>
  <si>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</si>
  <si>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</si>
  <si>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Meried</t>
  </si>
  <si>
    <t>Singel</t>
  </si>
  <si>
    <t>Male</t>
  </si>
  <si>
    <t>Female</t>
  </si>
  <si>
    <t>Maritial Status</t>
  </si>
  <si>
    <t>Age Brackets</t>
  </si>
  <si>
    <t>Row Labels</t>
  </si>
  <si>
    <t>Grand Total</t>
  </si>
  <si>
    <t>Average of Income</t>
  </si>
  <si>
    <t>Column Labels</t>
  </si>
  <si>
    <t>Count of Purchased Bike</t>
  </si>
  <si>
    <t>More than 10 miles</t>
  </si>
  <si>
    <t>Adolescent</t>
  </si>
  <si>
    <t>Middle Age</t>
  </si>
  <si>
    <t>Old</t>
  </si>
  <si>
    <t>Bike Seles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</si>
</sst>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7">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34" formatCode="_(&quot;$&quot;* #,##0.00_);_(&quot;$&quot;* \(#,##0.00\);_(&quot;$&quot;* &quot;-&quot;??_);_(@_)"/>
    </dxf>
    <dxf>
      <numFmt numFmtId="2" formatCode="0.00"/>
    </dxf>
    <dxf>
      <numFmt numFmtId="169" formatCode="0.0"/>
    </dxf>
    <dxf>
      <numFmt numFmtId="1" formatCode="0"/>
    </dxf>
    <dxf>
      <numFmt numFmtId="35" formatCode="_(* #,##0.00_);_(* \(#,##0.00\);_(* &quot;-&quot;??_);_(@_)"/>
    </dxf>
    <dxf>
      <numFmt numFmtId="170" formatCode="_(* #,##0.0_);_(* \(#,##0.0\);_(* &quot;-&quot;??_);_(@_)"/>
    </dxf>
    <dxf>
      <numFmt numFmtId="171" formatCode="_(* #,##0_);_(* \(#,##0\);_(* &quot;-&quot;??_);_(@_)"/>
    </dxf>
    <dxf>
      <numFmt numFmtId="171" formatCode="_(* #,##0_);_(* \(#,##0\);_(* &quot;-&quot;??_);_(@_)"/>
    </dxf>
    <dxf>
      <numFmt numFmtId="170" formatCode="_(* #,##0.0_);_(* \(#,##0.0\);_(* &quot;-&quot;??_);_(@_)"/>
    </dxf>
    <dxf>
      <numFmt numFmtId="35" formatCode="_(* #,##0.00_);_(* \(#,##0.00\);_(* &quot;-&quot;??_);_(@_)"/>
    </dxf>
    <dxf>
      <numFmt numFmtId="1" formatCode="0"/>
    </dxf>
    <dxf>
      <numFmt numFmtId="169" formatCode="0.0"/>
    </dxf>
    <dxf>
      <numFmt numFmtId="2" formatCode="0.00"/>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a:t>
            </a:r>
            <a:r>
              <a:rPr lang="en-US"/>
              <a:t>Income Per Purchase</a:t>
            </a:r>
            <a:endParaRPr lang="id-ID"/>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Table'!$B$7:$B$8</c:f>
              <c:strCache>
                <c:ptCount val="1"/>
                <c:pt idx="0">
                  <c:v>No</c:v>
                </c:pt>
              </c:strCache>
            </c:strRef>
          </c:tx>
          <c:spPr>
            <a:solidFill>
              <a:schemeClr val="accent1"/>
            </a:solidFill>
            <a:ln>
              <a:noFill/>
            </a:ln>
            <a:effectLst/>
          </c:spPr>
          <c:invertIfNegative val="0"/>
          <c:cat>
            <c:strRef>
              <c:f>'Pivot Table'!$A$9:$A$11</c:f>
              <c:strCache>
                <c:ptCount val="2"/>
                <c:pt idx="0">
                  <c:v>Female</c:v>
                </c:pt>
                <c:pt idx="1">
                  <c:v>Male</c:v>
                </c:pt>
              </c:strCache>
            </c:strRef>
          </c:cat>
          <c:val>
            <c:numRef>
              <c:f>'Pivot Table'!$B$9:$B$11</c:f>
              <c:numCache>
                <c:formatCode>_(* #,##0_);_(* \(#,##0\);_(* "-"??_);_(@_)</c:formatCode>
                <c:ptCount val="2"/>
                <c:pt idx="0">
                  <c:v>53440</c:v>
                </c:pt>
                <c:pt idx="1">
                  <c:v>56208.178438661707</c:v>
                </c:pt>
              </c:numCache>
            </c:numRef>
          </c:val>
          <c:extLst>
            <c:ext xmlns:c16="http://schemas.microsoft.com/office/drawing/2014/chart" uri="{C3380CC4-5D6E-409C-BE32-E72D297353CC}">
              <c16:uniqueId val="{00000000-1A1C-406D-A480-869E88FE6E7A}"/>
            </c:ext>
          </c:extLst>
        </c:ser>
        <c:ser>
          <c:idx val="1"/>
          <c:order val="1"/>
          <c:tx>
            <c:strRef>
              <c:f>'Pivot Table'!$C$7:$C$8</c:f>
              <c:strCache>
                <c:ptCount val="1"/>
                <c:pt idx="0">
                  <c:v>Yes</c:v>
                </c:pt>
              </c:strCache>
            </c:strRef>
          </c:tx>
          <c:spPr>
            <a:solidFill>
              <a:schemeClr val="accent2"/>
            </a:solidFill>
            <a:ln>
              <a:noFill/>
            </a:ln>
            <a:effectLst/>
          </c:spPr>
          <c:invertIfNegative val="0"/>
          <c:cat>
            <c:strRef>
              <c:f>'Pivot Table'!$A$9:$A$11</c:f>
              <c:strCache>
                <c:ptCount val="2"/>
                <c:pt idx="0">
                  <c:v>Female</c:v>
                </c:pt>
                <c:pt idx="1">
                  <c:v>Male</c:v>
                </c:pt>
              </c:strCache>
            </c:strRef>
          </c:cat>
          <c:val>
            <c:numRef>
              <c:f>'Pivot Table'!$C$9:$C$11</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A1C-406D-A480-869E88FE6E7A}"/>
            </c:ext>
          </c:extLst>
        </c:ser>
        <c:dLbls>
          <c:showLegendKey val="0"/>
          <c:showVal val="0"/>
          <c:showCatName val="0"/>
          <c:showSerName val="0"/>
          <c:showPercent val="0"/>
          <c:showBubbleSize val="0"/>
        </c:dLbls>
        <c:gapWidth val="219"/>
        <c:overlap val="-27"/>
        <c:axId val="2080250271"/>
        <c:axId val="2080246527"/>
      </c:barChart>
      <c:catAx>
        <c:axId val="208025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80246527"/>
        <c:crosses val="autoZero"/>
        <c:auto val="1"/>
        <c:lblAlgn val="ctr"/>
        <c:lblOffset val="100"/>
        <c:noMultiLvlLbl val="0"/>
      </c:catAx>
      <c:valAx>
        <c:axId val="208024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802502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id-ID"/>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endParaRPr lang="id-ID"/>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275-4314-8AF9-95CFA81A8D2D}"/>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275-4314-8AF9-95CFA81A8D2D}"/>
            </c:ext>
          </c:extLst>
        </c:ser>
        <c:dLbls>
          <c:showLegendKey val="0"/>
          <c:showVal val="0"/>
          <c:showCatName val="0"/>
          <c:showSerName val="0"/>
          <c:showPercent val="0"/>
          <c:showBubbleSize val="0"/>
        </c:dLbls>
        <c:smooth val="0"/>
        <c:axId val="2078692607"/>
        <c:axId val="2078694271"/>
      </c:lineChart>
      <c:catAx>
        <c:axId val="207869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id-ID"/>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78694271"/>
        <c:crosses val="autoZero"/>
        <c:auto val="1"/>
        <c:lblAlgn val="ctr"/>
        <c:lblOffset val="100"/>
        <c:noMultiLvlLbl val="0"/>
      </c:catAx>
      <c:valAx>
        <c:axId val="207869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786926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F5A-4DE2-9D47-9704E190472B}"/>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F5A-4DE2-9D47-9704E190472B}"/>
            </c:ext>
          </c:extLst>
        </c:ser>
        <c:dLbls>
          <c:showLegendKey val="0"/>
          <c:showVal val="0"/>
          <c:showCatName val="0"/>
          <c:showSerName val="0"/>
          <c:showPercent val="0"/>
          <c:showBubbleSize val="0"/>
        </c:dLbls>
        <c:smooth val="0"/>
        <c:axId val="167764575"/>
        <c:axId val="167761247"/>
      </c:lineChart>
      <c:catAx>
        <c:axId val="167764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endParaRPr lang="id-ID"/>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761247"/>
        <c:crosses val="autoZero"/>
        <c:auto val="1"/>
        <c:lblAlgn val="ctr"/>
        <c:lblOffset val="100"/>
        <c:noMultiLvlLbl val="0"/>
      </c:catAx>
      <c:valAx>
        <c:axId val="16776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764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Income Per Purchase</a:t>
            </a:r>
            <a:endParaRPr lang="id-ID"/>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s>
    <c:plotArea>
      <c:layout/>
      <c:barChart>
        <c:barDir val="col"/>
        <c:grouping val="clustered"/>
        <c:varyColors val="0"/>
        <c:ser>
          <c:idx val="0"/>
          <c:order val="0"/>
          <c:tx>
            <c:strRef>
              <c:f>'Pivot Table'!$B$7:$B$8</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Table'!$A$9:$A$11</c:f>
              <c:strCache>
                <c:ptCount val="2"/>
                <c:pt idx="0">
                  <c:v>Female</c:v>
                </c:pt>
                <c:pt idx="1">
                  <c:v>Male</c:v>
                </c:pt>
              </c:strCache>
            </c:strRef>
          </c:cat>
          <c:val>
            <c:numRef>
              <c:f>'Pivot Table'!$B$9:$B$11</c:f>
              <c:numCache>
                <c:formatCode>_(* #,##0_);_(* \(#,##0\);_(* "-"??_);_(@_)</c:formatCode>
                <c:ptCount val="2"/>
                <c:pt idx="0">
                  <c:v>53440</c:v>
                </c:pt>
                <c:pt idx="1">
                  <c:v>56208.178438661707</c:v>
                </c:pt>
              </c:numCache>
            </c:numRef>
          </c:val>
          <c:extLst>
            <c:ext xmlns:c16="http://schemas.microsoft.com/office/drawing/2014/chart" uri="{C3380CC4-5D6E-409C-BE32-E72D297353CC}">
              <c16:uniqueId val="{00000000-AAC3-4D65-B8A2-48CDF2EBBB38}"/>
            </c:ext>
          </c:extLst>
        </c:ser>
        <c:ser>
          <c:idx val="1"/>
          <c:order val="1"/>
          <c:tx>
            <c:strRef>
              <c:f>'Pivot Table'!$C$7:$C$8</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Table'!$A$9:$A$11</c:f>
              <c:strCache>
                <c:ptCount val="2"/>
                <c:pt idx="0">
                  <c:v>Female</c:v>
                </c:pt>
                <c:pt idx="1">
                  <c:v>Male</c:v>
                </c:pt>
              </c:strCache>
            </c:strRef>
          </c:cat>
          <c:val>
            <c:numRef>
              <c:f>'Pivot Table'!$C$9:$C$11</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AC3-4D65-B8A2-48CDF2EBBB38}"/>
            </c:ext>
          </c:extLst>
        </c:ser>
        <c:dLbls>
          <c:showLegendKey val="0"/>
          <c:showVal val="0"/>
          <c:showCatName val="0"/>
          <c:showSerName val="0"/>
          <c:showPercent val="0"/>
          <c:showBubbleSize val="0"/>
        </c:dLbls>
        <c:gapWidth val="100"/>
        <c:overlap val="-24"/>
        <c:axId val="2080250271"/>
        <c:axId val="2080246527"/>
      </c:barChart>
      <c:catAx>
        <c:axId val="20802502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2080246527"/>
        <c:crosses val="autoZero"/>
        <c:auto val="1"/>
        <c:lblAlgn val="ctr"/>
        <c:lblOffset val="100"/>
        <c:noMultiLvlLbl val="0"/>
      </c:catAx>
      <c:valAx>
        <c:axId val="208024652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d-ID"/>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208025027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id-ID"/>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endParaRPr lang="id-ID"/>
          </a:p>
        </c:rich>
      </c:tx>
      <c:layout>
        <c:manualLayout>
          <c:xMode val="edge"/>
          <c:yMode val="edge"/>
          <c:x val="0.43540525765788601"/>
          <c:y val="0.1201307276898940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0A7-4DC9-A72A-429BC0148C9D}"/>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0A7-4DC9-A72A-429BC0148C9D}"/>
            </c:ext>
          </c:extLst>
        </c:ser>
        <c:dLbls>
          <c:showLegendKey val="0"/>
          <c:showVal val="0"/>
          <c:showCatName val="0"/>
          <c:showSerName val="0"/>
          <c:showPercent val="0"/>
          <c:showBubbleSize val="0"/>
        </c:dLbls>
        <c:marker val="1"/>
        <c:smooth val="0"/>
        <c:axId val="2078692607"/>
        <c:axId val="2078694271"/>
      </c:lineChart>
      <c:catAx>
        <c:axId val="207869260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endParaRPr lang="id-ID"/>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d-ID"/>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2078694271"/>
        <c:crosses val="autoZero"/>
        <c:auto val="1"/>
        <c:lblAlgn val="ctr"/>
        <c:lblOffset val="100"/>
        <c:noMultiLvlLbl val="0"/>
      </c:catAx>
      <c:valAx>
        <c:axId val="20786942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20786926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pivotFmt>
      <c:pivotFmt>
        <c:idx val="1"/>
      </c:pivotFmt>
      <c:pivotFmt>
        <c:idx val="2"/>
      </c:pivotFmt>
      <c:pivotFmt>
        <c:idx val="3"/>
      </c:pivotFmt>
      <c:pivotFmt>
        <c:idx val="4"/>
      </c:pivotFmt>
      <c:pivotFmt>
        <c:idx val="5"/>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Table'!$B$40:$B$41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6E3-4A71-9F2B-C8F3212E6D3B}"/>
            </c:ext>
          </c:extLst>
        </c:ser>
        <c:ser>
          <c:idx val="1"/>
          <c:order val="1"/>
          <c:tx>
            <c:strRef>
              <c:f>'Pivot Table'!$C$40:$C$41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6E3-4A71-9F2B-C8F3212E6D3B}"/>
            </c:ext>
          </c:extLst>
        </c:ser>
        <c:dLbls>
          <c:showLegendKey val="0"/>
          <c:showVal val="0"/>
          <c:showCatName val="0"/>
          <c:showSerName val="0"/>
          <c:showPercent val="0"/>
          <c:showBubbleSize val="0"/>
        </c:dLbls>
        <c:marker val="1"/>
        <c:smooth val="0"/>
        <c:axId val="167764575"/>
        <c:axId val="167761247"/>
      </c:lineChart>
      <c:catAx>
        <c:axId val="1677645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Brackets</a:t>
                </a:r>
                <a:endParaRPr lang="id-ID"/>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d-ID"/>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67761247"/>
        <c:crosses val="autoZero"/>
        <c:auto val="1"/>
        <c:lblAlgn val="ctr"/>
        <c:lblOffset val="100"/>
        <c:noMultiLvlLbl val="0"/>
      </c:catAx>
      <c:valAx>
        <c:axId val="1677612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67764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228600</xdr:colOff>
      <xdr:row>1</xdr:row>
      <xdr:rowOff>41910</xdr:rowOff>
    </xdr:from>
    <xdr:to>
      <xdr:col>11</xdr:col>
      <xdr:colOff>175260</xdr:colOff>
      <xdr:row>14</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259080</xdr:colOff>
      <xdr:row>17</xdr:row>
      <xdr:rowOff>49530</xdr:rowOff>
    </xdr:from>
    <xdr:to>
      <xdr:col>11</xdr:col>
      <xdr:colOff>167640</xdr:colOff>
      <xdr:row>31</xdr:row>
      <xdr:rowOff>53340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297180</xdr:colOff>
      <xdr:row>35</xdr:row>
      <xdr:rowOff>118110</xdr:rowOff>
    </xdr:from>
    <xdr:to>
      <xdr:col>11</xdr:col>
      <xdr:colOff>213360</xdr:colOff>
      <xdr:row>48</xdr:row>
      <xdr:rowOff>137160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605244</xdr:colOff>
      <xdr:row>6</xdr:row>
      <xdr:rowOff>54334</xdr:rowOff>
    </xdr:from>
    <xdr:to>
      <xdr:col>10</xdr:col>
      <xdr:colOff>327659</xdr:colOff>
      <xdr:row>21</xdr:row>
      <xdr:rowOff>118561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22</xdr:row>
      <xdr:rowOff>23748</xdr:rowOff>
    </xdr:from>
    <xdr:to>
      <xdr:col>17</xdr:col>
      <xdr:colOff>31530</xdr:colOff>
      <xdr:row>35</xdr:row>
      <xdr:rowOff>160236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335280</xdr:colOff>
      <xdr:row>6</xdr:row>
      <xdr:rowOff>45720</xdr:rowOff>
    </xdr:from>
    <xdr:to>
      <xdr:col>17</xdr:col>
      <xdr:colOff>0</xdr:colOff>
      <xdr:row>21</xdr:row>
      <xdr:rowOff>87180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44633</xdr:colOff>
      <xdr:row>6</xdr:row>
      <xdr:rowOff>2177</xdr:rowOff>
    </xdr:from>
    <xdr:to>
      <xdr:col>2</xdr:col>
      <xdr:colOff>583097</xdr:colOff>
      <xdr:row>11</xdr:row>
      <xdr:rowOff>55418</xdr:rowOff>
    </xdr:to>
    <mc:AlternateContent xmlns:mc="http://schemas.openxmlformats.org/markup-compatibility/2006">
      <mc:Choice xmlns:a14="http://schemas.microsoft.com/office/drawing/2010/main" Requires="a14">
        <xdr:graphicFrame macro="">
          <xdr:nvGraphicFramePr>
            <xdr:cNvPr id="5" name="Maritial Status"/>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44633" y="1112520"/>
              <a:ext cx="1757664" cy="97852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77993</xdr:rowOff>
    </xdr:from>
    <xdr:to>
      <xdr:col>2</xdr:col>
      <xdr:colOff>583096</xdr:colOff>
      <xdr:row>27</xdr:row>
      <xdr:rowOff>170330</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09022"/>
              <a:ext cx="1802296" cy="175785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91890</xdr:rowOff>
    </xdr:from>
    <xdr:to>
      <xdr:col>2</xdr:col>
      <xdr:colOff>583096</xdr:colOff>
      <xdr:row>18</xdr:row>
      <xdr:rowOff>44825</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27519"/>
              <a:ext cx="1802296" cy="124833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5992.400764467595"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eried"/>
        <s v="Singel"/>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2:D10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0:D4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8">
        <item x="0"/>
        <item m="1" x="6"/>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7:D11"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7">
    <format dxfId="356">
      <pivotArea outline="0" collapsedLevelsAreSubtotals="1" fieldPosition="0"/>
    </format>
    <format dxfId="355">
      <pivotArea outline="0" collapsedLevelsAreSubtotals="1" fieldPosition="0"/>
    </format>
    <format dxfId="354">
      <pivotArea outline="0" collapsedLevelsAreSubtotals="1" fieldPosition="0"/>
    </format>
    <format dxfId="353">
      <pivotArea outline="0" collapsedLevelsAreSubtotals="1" fieldPosition="0"/>
    </format>
    <format dxfId="352">
      <pivotArea outline="0" collapsedLevelsAreSubtotals="1" fieldPosition="0"/>
    </format>
    <format dxfId="351">
      <pivotArea outline="0" collapsedLevelsAreSubtotals="1" fieldPosition="0"/>
    </format>
    <format dxfId="350">
      <pivotArea outline="0" collapsedLevelsAreSubtotals="1" fieldPosition="0"/>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ial_Status" sourceName="Maritial Status">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ial Status" cache="Slicer_Maritial_Status" caption="Mariti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27" sqref="C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973" workbookViewId="0">
      <selection activeCell="J4" sqref="J4"/>
    </sheetView>
  </sheetViews>
  <sheetFormatPr defaultColWidth="15.44140625" defaultRowHeight="14.4" x14ac:dyDescent="0.3"/>
  <cols>
    <col min="4" max="4" width="15.44140625" style="3"/>
  </cols>
  <sheetData>
    <row r="1" spans="1:14" x14ac:dyDescent="0.3">
      <c r="A1" t="s">
        <v>0</v>
      </c>
      <c r="B1" t="s">
        <v>40</v>
      </c>
      <c r="C1" t="s">
        <v>2</v>
      </c>
      <c r="D1" s="3" t="s">
        <v>3</v>
      </c>
      <c r="E1" t="s">
        <v>4</v>
      </c>
      <c r="F1" t="s">
        <v>5</v>
      </c>
      <c r="G1" t="s">
        <v>6</v>
      </c>
      <c r="H1" t="s">
        <v>7</v>
      </c>
      <c r="I1" t="s">
        <v>8</v>
      </c>
      <c r="J1" t="s">
        <v>9</v>
      </c>
      <c r="K1" t="s">
        <v>10</v>
      </c>
      <c r="L1" t="s">
        <v>11</v>
      </c>
      <c r="M1" t="s">
        <v>41</v>
      </c>
      <c r="N1" t="s">
        <v>12</v>
      </c>
    </row>
    <row r="2" spans="1:14" x14ac:dyDescent="0.3">
      <c r="A2">
        <v>12496</v>
      </c>
      <c r="B2" t="s">
        <v>36</v>
      </c>
      <c r="C2" t="s">
        <v>39</v>
      </c>
      <c r="D2" s="3">
        <v>40000</v>
      </c>
      <c r="E2">
        <v>1</v>
      </c>
      <c r="F2" t="s">
        <v>13</v>
      </c>
      <c r="G2" t="s">
        <v>14</v>
      </c>
      <c r="H2" t="s">
        <v>15</v>
      </c>
      <c r="I2">
        <v>0</v>
      </c>
      <c r="J2" t="s">
        <v>16</v>
      </c>
      <c r="K2" t="s">
        <v>17</v>
      </c>
      <c r="L2">
        <v>42</v>
      </c>
      <c r="M2" t="str">
        <f>IF(L2&gt;54, "Old", IF(L2&gt;=31, "Middle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 "Middle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 "Middle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 "Middle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 "Old", IF(L195&gt;=31, "Middle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 "Middle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 "Middle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 "Middle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 "Middle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 "Old", IF(L515&gt;=31, "Middle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 "Middle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 "Old", IF(L643&gt;=31, "Middle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 "Old", IF(L707&gt;=31, "Middle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 IF(L771&gt;=31, "Middle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 IF(L835&gt;=31, "Middle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 IF(L899&gt;=31, "Middle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 IF(L963&gt;=31, "Middle Age",IF(L963&lt;31,"Adolescent","Invalid")))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D107"/>
  <sheetViews>
    <sheetView topLeftCell="A21" zoomScale="85" zoomScaleNormal="85" workbookViewId="0">
      <selection activeCell="O17" sqref="O17"/>
    </sheetView>
  </sheetViews>
  <sheetFormatPr defaultRowHeight="14.4" x14ac:dyDescent="0.3"/>
  <cols>
    <col min="1" max="1" width="23.109375" customWidth="1"/>
    <col min="2" max="2" width="16.44140625" customWidth="1"/>
    <col min="3" max="3" width="4" customWidth="1"/>
    <col min="4" max="4" width="11.44140625" customWidth="1"/>
  </cols>
  <sheetData>
    <row r="7" spans="1:4" x14ac:dyDescent="0.3">
      <c r="A7" s="4" t="s">
        <v>44</v>
      </c>
      <c r="B7" s="4" t="s">
        <v>45</v>
      </c>
    </row>
    <row r="8" spans="1:4" x14ac:dyDescent="0.3">
      <c r="A8" s="4" t="s">
        <v>42</v>
      </c>
      <c r="B8" t="s">
        <v>18</v>
      </c>
      <c r="C8" t="s">
        <v>15</v>
      </c>
      <c r="D8" t="s">
        <v>43</v>
      </c>
    </row>
    <row r="9" spans="1:4" x14ac:dyDescent="0.3">
      <c r="A9" s="5" t="s">
        <v>39</v>
      </c>
      <c r="B9" s="7">
        <v>53440</v>
      </c>
      <c r="C9" s="7">
        <v>55774.058577405856</v>
      </c>
      <c r="D9" s="7">
        <v>54580.777096114522</v>
      </c>
    </row>
    <row r="10" spans="1:4" x14ac:dyDescent="0.3">
      <c r="A10" s="5" t="s">
        <v>38</v>
      </c>
      <c r="B10" s="7">
        <v>56208.178438661707</v>
      </c>
      <c r="C10" s="7">
        <v>60123.966942148763</v>
      </c>
      <c r="D10" s="7">
        <v>58062.62230919765</v>
      </c>
    </row>
    <row r="11" spans="1:4" x14ac:dyDescent="0.3">
      <c r="A11" s="5" t="s">
        <v>43</v>
      </c>
      <c r="B11" s="7">
        <v>54874.759152215796</v>
      </c>
      <c r="C11" s="7">
        <v>57962.577962577961</v>
      </c>
      <c r="D11" s="7">
        <v>56360</v>
      </c>
    </row>
    <row r="21" spans="1:4" x14ac:dyDescent="0.3">
      <c r="A21" s="4" t="s">
        <v>46</v>
      </c>
      <c r="B21" s="4" t="s">
        <v>45</v>
      </c>
    </row>
    <row r="22" spans="1:4" x14ac:dyDescent="0.3">
      <c r="A22" s="4" t="s">
        <v>42</v>
      </c>
      <c r="B22" t="s">
        <v>18</v>
      </c>
      <c r="C22" t="s">
        <v>15</v>
      </c>
      <c r="D22" t="s">
        <v>43</v>
      </c>
    </row>
    <row r="23" spans="1:4" x14ac:dyDescent="0.3">
      <c r="A23" s="5" t="s">
        <v>16</v>
      </c>
      <c r="B23" s="6">
        <v>166</v>
      </c>
      <c r="C23" s="6">
        <v>200</v>
      </c>
      <c r="D23" s="6">
        <v>366</v>
      </c>
    </row>
    <row r="24" spans="1:4" x14ac:dyDescent="0.3">
      <c r="A24" s="5" t="s">
        <v>26</v>
      </c>
      <c r="B24" s="6">
        <v>92</v>
      </c>
      <c r="C24" s="6">
        <v>77</v>
      </c>
      <c r="D24" s="6">
        <v>169</v>
      </c>
    </row>
    <row r="25" spans="1:4" x14ac:dyDescent="0.3">
      <c r="A25" s="5" t="s">
        <v>22</v>
      </c>
      <c r="B25" s="6">
        <v>67</v>
      </c>
      <c r="C25" s="6">
        <v>95</v>
      </c>
      <c r="D25" s="6">
        <v>162</v>
      </c>
    </row>
    <row r="26" spans="1:4" x14ac:dyDescent="0.3">
      <c r="A26" s="5" t="s">
        <v>23</v>
      </c>
      <c r="B26" s="6">
        <v>116</v>
      </c>
      <c r="C26" s="6">
        <v>76</v>
      </c>
      <c r="D26" s="6">
        <v>192</v>
      </c>
    </row>
    <row r="27" spans="1:4" x14ac:dyDescent="0.3">
      <c r="A27" s="5" t="s">
        <v>47</v>
      </c>
      <c r="B27" s="6">
        <v>78</v>
      </c>
      <c r="C27" s="6">
        <v>33</v>
      </c>
      <c r="D27" s="6">
        <v>111</v>
      </c>
    </row>
    <row r="28" spans="1:4" x14ac:dyDescent="0.3">
      <c r="A28" s="5" t="s">
        <v>43</v>
      </c>
      <c r="B28" s="6">
        <v>519</v>
      </c>
      <c r="C28" s="6">
        <v>481</v>
      </c>
      <c r="D28" s="6">
        <v>1000</v>
      </c>
    </row>
    <row r="40" spans="1:4" x14ac:dyDescent="0.3">
      <c r="A40" s="4" t="s">
        <v>46</v>
      </c>
      <c r="B40" s="4" t="s">
        <v>45</v>
      </c>
    </row>
    <row r="41" spans="1:4" x14ac:dyDescent="0.3">
      <c r="A41" s="4" t="s">
        <v>42</v>
      </c>
      <c r="B41" t="s">
        <v>18</v>
      </c>
      <c r="C41" t="s">
        <v>15</v>
      </c>
      <c r="D41" t="s">
        <v>43</v>
      </c>
    </row>
    <row r="42" spans="1:4" x14ac:dyDescent="0.3">
      <c r="A42" s="5" t="s">
        <v>48</v>
      </c>
      <c r="B42" s="6">
        <v>71</v>
      </c>
      <c r="C42" s="6">
        <v>39</v>
      </c>
      <c r="D42" s="6">
        <v>110</v>
      </c>
    </row>
    <row r="43" spans="1:4" x14ac:dyDescent="0.3">
      <c r="A43" s="5" t="s">
        <v>49</v>
      </c>
      <c r="B43" s="6">
        <v>318</v>
      </c>
      <c r="C43" s="6">
        <v>383</v>
      </c>
      <c r="D43" s="6">
        <v>701</v>
      </c>
    </row>
    <row r="44" spans="1:4" x14ac:dyDescent="0.3">
      <c r="A44" s="5" t="s">
        <v>50</v>
      </c>
      <c r="B44" s="6">
        <v>130</v>
      </c>
      <c r="C44" s="6">
        <v>59</v>
      </c>
      <c r="D44" s="6">
        <v>189</v>
      </c>
    </row>
    <row r="45" spans="1:4" x14ac:dyDescent="0.3">
      <c r="A45" s="5" t="s">
        <v>43</v>
      </c>
      <c r="B45" s="6">
        <v>519</v>
      </c>
      <c r="C45" s="6">
        <v>481</v>
      </c>
      <c r="D45" s="6">
        <v>1000</v>
      </c>
    </row>
    <row r="52" spans="1:4" x14ac:dyDescent="0.3">
      <c r="A52" s="4" t="s">
        <v>46</v>
      </c>
      <c r="B52" s="4" t="s">
        <v>45</v>
      </c>
    </row>
    <row r="53" spans="1:4" x14ac:dyDescent="0.3">
      <c r="A53" s="4" t="s">
        <v>42</v>
      </c>
      <c r="B53" t="s">
        <v>18</v>
      </c>
      <c r="C53" t="s">
        <v>15</v>
      </c>
      <c r="D53" t="s">
        <v>43</v>
      </c>
    </row>
    <row r="54" spans="1:4" x14ac:dyDescent="0.3">
      <c r="A54" s="5">
        <v>25</v>
      </c>
      <c r="B54" s="6">
        <v>2</v>
      </c>
      <c r="C54" s="6">
        <v>4</v>
      </c>
      <c r="D54" s="6">
        <v>6</v>
      </c>
    </row>
    <row r="55" spans="1:4" x14ac:dyDescent="0.3">
      <c r="A55" s="5">
        <v>26</v>
      </c>
      <c r="B55" s="6">
        <v>8</v>
      </c>
      <c r="C55" s="6">
        <v>8</v>
      </c>
      <c r="D55" s="6">
        <v>16</v>
      </c>
    </row>
    <row r="56" spans="1:4" x14ac:dyDescent="0.3">
      <c r="A56" s="5">
        <v>27</v>
      </c>
      <c r="B56" s="6">
        <v>15</v>
      </c>
      <c r="C56" s="6">
        <v>8</v>
      </c>
      <c r="D56" s="6">
        <v>23</v>
      </c>
    </row>
    <row r="57" spans="1:4" x14ac:dyDescent="0.3">
      <c r="A57" s="5">
        <v>28</v>
      </c>
      <c r="B57" s="6">
        <v>12</v>
      </c>
      <c r="C57" s="6">
        <v>10</v>
      </c>
      <c r="D57" s="6">
        <v>22</v>
      </c>
    </row>
    <row r="58" spans="1:4" x14ac:dyDescent="0.3">
      <c r="A58" s="5">
        <v>29</v>
      </c>
      <c r="B58" s="6">
        <v>11</v>
      </c>
      <c r="C58" s="6">
        <v>5</v>
      </c>
      <c r="D58" s="6">
        <v>16</v>
      </c>
    </row>
    <row r="59" spans="1:4" x14ac:dyDescent="0.3">
      <c r="A59" s="5">
        <v>30</v>
      </c>
      <c r="B59" s="6">
        <v>23</v>
      </c>
      <c r="C59" s="6">
        <v>4</v>
      </c>
      <c r="D59" s="6">
        <v>27</v>
      </c>
    </row>
    <row r="60" spans="1:4" x14ac:dyDescent="0.3">
      <c r="A60" s="5">
        <v>31</v>
      </c>
      <c r="B60" s="6">
        <v>17</v>
      </c>
      <c r="C60" s="6">
        <v>8</v>
      </c>
      <c r="D60" s="6">
        <v>25</v>
      </c>
    </row>
    <row r="61" spans="1:4" x14ac:dyDescent="0.3">
      <c r="A61" s="5">
        <v>32</v>
      </c>
      <c r="B61" s="6">
        <v>19</v>
      </c>
      <c r="C61" s="6">
        <v>14</v>
      </c>
      <c r="D61" s="6">
        <v>33</v>
      </c>
    </row>
    <row r="62" spans="1:4" x14ac:dyDescent="0.3">
      <c r="A62" s="5">
        <v>33</v>
      </c>
      <c r="B62" s="6">
        <v>8</v>
      </c>
      <c r="C62" s="6">
        <v>13</v>
      </c>
      <c r="D62" s="6">
        <v>21</v>
      </c>
    </row>
    <row r="63" spans="1:4" x14ac:dyDescent="0.3">
      <c r="A63" s="5">
        <v>34</v>
      </c>
      <c r="B63" s="6">
        <v>12</v>
      </c>
      <c r="C63" s="6">
        <v>19</v>
      </c>
      <c r="D63" s="6">
        <v>31</v>
      </c>
    </row>
    <row r="64" spans="1:4" x14ac:dyDescent="0.3">
      <c r="A64" s="5">
        <v>35</v>
      </c>
      <c r="B64" s="6">
        <v>14</v>
      </c>
      <c r="C64" s="6">
        <v>22</v>
      </c>
      <c r="D64" s="6">
        <v>36</v>
      </c>
    </row>
    <row r="65" spans="1:4" x14ac:dyDescent="0.3">
      <c r="A65" s="5">
        <v>36</v>
      </c>
      <c r="B65" s="6">
        <v>7</v>
      </c>
      <c r="C65" s="6">
        <v>30</v>
      </c>
      <c r="D65" s="6">
        <v>37</v>
      </c>
    </row>
    <row r="66" spans="1:4" x14ac:dyDescent="0.3">
      <c r="A66" s="5">
        <v>37</v>
      </c>
      <c r="B66" s="6">
        <v>4</v>
      </c>
      <c r="C66" s="6">
        <v>28</v>
      </c>
      <c r="D66" s="6">
        <v>32</v>
      </c>
    </row>
    <row r="67" spans="1:4" x14ac:dyDescent="0.3">
      <c r="A67" s="5">
        <v>38</v>
      </c>
      <c r="B67" s="6">
        <v>8</v>
      </c>
      <c r="C67" s="6">
        <v>29</v>
      </c>
      <c r="D67" s="6">
        <v>37</v>
      </c>
    </row>
    <row r="68" spans="1:4" x14ac:dyDescent="0.3">
      <c r="A68" s="5">
        <v>39</v>
      </c>
      <c r="B68" s="6">
        <v>10</v>
      </c>
      <c r="C68" s="6">
        <v>12</v>
      </c>
      <c r="D68" s="6">
        <v>22</v>
      </c>
    </row>
    <row r="69" spans="1:4" x14ac:dyDescent="0.3">
      <c r="A69" s="5">
        <v>40</v>
      </c>
      <c r="B69" s="6">
        <v>24</v>
      </c>
      <c r="C69" s="6">
        <v>18</v>
      </c>
      <c r="D69" s="6">
        <v>42</v>
      </c>
    </row>
    <row r="70" spans="1:4" x14ac:dyDescent="0.3">
      <c r="A70" s="5">
        <v>41</v>
      </c>
      <c r="B70" s="6">
        <v>13</v>
      </c>
      <c r="C70" s="6">
        <v>15</v>
      </c>
      <c r="D70" s="6">
        <v>28</v>
      </c>
    </row>
    <row r="71" spans="1:4" x14ac:dyDescent="0.3">
      <c r="A71" s="5">
        <v>42</v>
      </c>
      <c r="B71" s="6">
        <v>22</v>
      </c>
      <c r="C71" s="6">
        <v>12</v>
      </c>
      <c r="D71" s="6">
        <v>34</v>
      </c>
    </row>
    <row r="72" spans="1:4" x14ac:dyDescent="0.3">
      <c r="A72" s="5">
        <v>43</v>
      </c>
      <c r="B72" s="6">
        <v>17</v>
      </c>
      <c r="C72" s="6">
        <v>19</v>
      </c>
      <c r="D72" s="6">
        <v>36</v>
      </c>
    </row>
    <row r="73" spans="1:4" x14ac:dyDescent="0.3">
      <c r="A73" s="5">
        <v>44</v>
      </c>
      <c r="B73" s="6">
        <v>15</v>
      </c>
      <c r="C73" s="6">
        <v>12</v>
      </c>
      <c r="D73" s="6">
        <v>27</v>
      </c>
    </row>
    <row r="74" spans="1:4" x14ac:dyDescent="0.3">
      <c r="A74" s="5">
        <v>45</v>
      </c>
      <c r="B74" s="6">
        <v>18</v>
      </c>
      <c r="C74" s="6">
        <v>13</v>
      </c>
      <c r="D74" s="6">
        <v>31</v>
      </c>
    </row>
    <row r="75" spans="1:4" x14ac:dyDescent="0.3">
      <c r="A75" s="5">
        <v>46</v>
      </c>
      <c r="B75" s="6">
        <v>12</v>
      </c>
      <c r="C75" s="6">
        <v>15</v>
      </c>
      <c r="D75" s="6">
        <v>27</v>
      </c>
    </row>
    <row r="76" spans="1:4" x14ac:dyDescent="0.3">
      <c r="A76" s="5">
        <v>47</v>
      </c>
      <c r="B76" s="6">
        <v>19</v>
      </c>
      <c r="C76" s="6">
        <v>20</v>
      </c>
      <c r="D76" s="6">
        <v>39</v>
      </c>
    </row>
    <row r="77" spans="1:4" x14ac:dyDescent="0.3">
      <c r="A77" s="5">
        <v>48</v>
      </c>
      <c r="B77" s="6">
        <v>16</v>
      </c>
      <c r="C77" s="6">
        <v>13</v>
      </c>
      <c r="D77" s="6">
        <v>29</v>
      </c>
    </row>
    <row r="78" spans="1:4" x14ac:dyDescent="0.3">
      <c r="A78" s="5">
        <v>49</v>
      </c>
      <c r="B78" s="6">
        <v>15</v>
      </c>
      <c r="C78" s="6">
        <v>8</v>
      </c>
      <c r="D78" s="6">
        <v>23</v>
      </c>
    </row>
    <row r="79" spans="1:4" x14ac:dyDescent="0.3">
      <c r="A79" s="5">
        <v>50</v>
      </c>
      <c r="B79" s="6">
        <v>12</v>
      </c>
      <c r="C79" s="6">
        <v>12</v>
      </c>
      <c r="D79" s="6">
        <v>24</v>
      </c>
    </row>
    <row r="80" spans="1:4" x14ac:dyDescent="0.3">
      <c r="A80" s="5">
        <v>51</v>
      </c>
      <c r="B80" s="6">
        <v>10</v>
      </c>
      <c r="C80" s="6">
        <v>12</v>
      </c>
      <c r="D80" s="6">
        <v>22</v>
      </c>
    </row>
    <row r="81" spans="1:4" x14ac:dyDescent="0.3">
      <c r="A81" s="5">
        <v>52</v>
      </c>
      <c r="B81" s="6">
        <v>10</v>
      </c>
      <c r="C81" s="6">
        <v>15</v>
      </c>
      <c r="D81" s="6">
        <v>25</v>
      </c>
    </row>
    <row r="82" spans="1:4" x14ac:dyDescent="0.3">
      <c r="A82" s="5">
        <v>53</v>
      </c>
      <c r="B82" s="6">
        <v>11</v>
      </c>
      <c r="C82" s="6">
        <v>13</v>
      </c>
      <c r="D82" s="6">
        <v>24</v>
      </c>
    </row>
    <row r="83" spans="1:4" x14ac:dyDescent="0.3">
      <c r="A83" s="5">
        <v>54</v>
      </c>
      <c r="B83" s="6">
        <v>5</v>
      </c>
      <c r="C83" s="6">
        <v>11</v>
      </c>
      <c r="D83" s="6">
        <v>16</v>
      </c>
    </row>
    <row r="84" spans="1:4" x14ac:dyDescent="0.3">
      <c r="A84" s="5">
        <v>55</v>
      </c>
      <c r="B84" s="6">
        <v>13</v>
      </c>
      <c r="C84" s="6">
        <v>5</v>
      </c>
      <c r="D84" s="6">
        <v>18</v>
      </c>
    </row>
    <row r="85" spans="1:4" x14ac:dyDescent="0.3">
      <c r="A85" s="5">
        <v>56</v>
      </c>
      <c r="B85" s="6">
        <v>13</v>
      </c>
      <c r="C85" s="6">
        <v>3</v>
      </c>
      <c r="D85" s="6">
        <v>16</v>
      </c>
    </row>
    <row r="86" spans="1:4" x14ac:dyDescent="0.3">
      <c r="A86" s="5">
        <v>57</v>
      </c>
      <c r="B86" s="6">
        <v>4</v>
      </c>
      <c r="C86" s="6">
        <v>4</v>
      </c>
      <c r="D86" s="6">
        <v>8</v>
      </c>
    </row>
    <row r="87" spans="1:4" x14ac:dyDescent="0.3">
      <c r="A87" s="5">
        <v>58</v>
      </c>
      <c r="B87" s="6">
        <v>8</v>
      </c>
      <c r="C87" s="6">
        <v>4</v>
      </c>
      <c r="D87" s="6">
        <v>12</v>
      </c>
    </row>
    <row r="88" spans="1:4" x14ac:dyDescent="0.3">
      <c r="A88" s="5">
        <v>59</v>
      </c>
      <c r="B88" s="6">
        <v>14</v>
      </c>
      <c r="C88" s="6">
        <v>6</v>
      </c>
      <c r="D88" s="6">
        <v>20</v>
      </c>
    </row>
    <row r="89" spans="1:4" x14ac:dyDescent="0.3">
      <c r="A89" s="5">
        <v>60</v>
      </c>
      <c r="B89" s="6">
        <v>8</v>
      </c>
      <c r="C89" s="6">
        <v>7</v>
      </c>
      <c r="D89" s="6">
        <v>15</v>
      </c>
    </row>
    <row r="90" spans="1:4" x14ac:dyDescent="0.3">
      <c r="A90" s="5">
        <v>61</v>
      </c>
      <c r="B90" s="6">
        <v>5</v>
      </c>
      <c r="C90" s="6">
        <v>4</v>
      </c>
      <c r="D90" s="6">
        <v>9</v>
      </c>
    </row>
    <row r="91" spans="1:4" x14ac:dyDescent="0.3">
      <c r="A91" s="5">
        <v>62</v>
      </c>
      <c r="B91" s="6">
        <v>9</v>
      </c>
      <c r="C91" s="6">
        <v>4</v>
      </c>
      <c r="D91" s="6">
        <v>13</v>
      </c>
    </row>
    <row r="92" spans="1:4" x14ac:dyDescent="0.3">
      <c r="A92" s="5">
        <v>63</v>
      </c>
      <c r="B92" s="6">
        <v>7</v>
      </c>
      <c r="C92" s="6">
        <v>2</v>
      </c>
      <c r="D92" s="6">
        <v>9</v>
      </c>
    </row>
    <row r="93" spans="1:4" x14ac:dyDescent="0.3">
      <c r="A93" s="5">
        <v>64</v>
      </c>
      <c r="B93" s="6">
        <v>7</v>
      </c>
      <c r="C93" s="6">
        <v>3</v>
      </c>
      <c r="D93" s="6">
        <v>10</v>
      </c>
    </row>
    <row r="94" spans="1:4" x14ac:dyDescent="0.3">
      <c r="A94" s="5">
        <v>65</v>
      </c>
      <c r="B94" s="6">
        <v>6</v>
      </c>
      <c r="C94" s="6">
        <v>3</v>
      </c>
      <c r="D94" s="6">
        <v>9</v>
      </c>
    </row>
    <row r="95" spans="1:4" x14ac:dyDescent="0.3">
      <c r="A95" s="5">
        <v>66</v>
      </c>
      <c r="B95" s="6">
        <v>8</v>
      </c>
      <c r="C95" s="6">
        <v>6</v>
      </c>
      <c r="D95" s="6">
        <v>14</v>
      </c>
    </row>
    <row r="96" spans="1:4" x14ac:dyDescent="0.3">
      <c r="A96" s="5">
        <v>67</v>
      </c>
      <c r="B96" s="6">
        <v>8</v>
      </c>
      <c r="C96" s="6">
        <v>2</v>
      </c>
      <c r="D96" s="6">
        <v>10</v>
      </c>
    </row>
    <row r="97" spans="1:4" x14ac:dyDescent="0.3">
      <c r="A97" s="5">
        <v>68</v>
      </c>
      <c r="B97" s="6">
        <v>3</v>
      </c>
      <c r="C97" s="6"/>
      <c r="D97" s="6">
        <v>3</v>
      </c>
    </row>
    <row r="98" spans="1:4" x14ac:dyDescent="0.3">
      <c r="A98" s="5">
        <v>69</v>
      </c>
      <c r="B98" s="6">
        <v>8</v>
      </c>
      <c r="C98" s="6"/>
      <c r="D98" s="6">
        <v>8</v>
      </c>
    </row>
    <row r="99" spans="1:4" x14ac:dyDescent="0.3">
      <c r="A99" s="5">
        <v>70</v>
      </c>
      <c r="B99" s="6">
        <v>3</v>
      </c>
      <c r="C99" s="6">
        <v>1</v>
      </c>
      <c r="D99" s="6">
        <v>4</v>
      </c>
    </row>
    <row r="100" spans="1:4" x14ac:dyDescent="0.3">
      <c r="A100" s="5">
        <v>71</v>
      </c>
      <c r="B100" s="6">
        <v>1</v>
      </c>
      <c r="C100" s="6"/>
      <c r="D100" s="6">
        <v>1</v>
      </c>
    </row>
    <row r="101" spans="1:4" x14ac:dyDescent="0.3">
      <c r="A101" s="5">
        <v>72</v>
      </c>
      <c r="B101" s="6"/>
      <c r="C101" s="6">
        <v>1</v>
      </c>
      <c r="D101" s="6">
        <v>1</v>
      </c>
    </row>
    <row r="102" spans="1:4" x14ac:dyDescent="0.3">
      <c r="A102" s="5">
        <v>73</v>
      </c>
      <c r="B102" s="6">
        <v>2</v>
      </c>
      <c r="C102" s="6">
        <v>2</v>
      </c>
      <c r="D102" s="6">
        <v>4</v>
      </c>
    </row>
    <row r="103" spans="1:4" x14ac:dyDescent="0.3">
      <c r="A103" s="5">
        <v>74</v>
      </c>
      <c r="B103" s="6"/>
      <c r="C103" s="6">
        <v>1</v>
      </c>
      <c r="D103" s="6">
        <v>1</v>
      </c>
    </row>
    <row r="104" spans="1:4" x14ac:dyDescent="0.3">
      <c r="A104" s="5">
        <v>78</v>
      </c>
      <c r="B104" s="6">
        <v>1</v>
      </c>
      <c r="C104" s="6">
        <v>1</v>
      </c>
      <c r="D104" s="6">
        <v>2</v>
      </c>
    </row>
    <row r="105" spans="1:4" x14ac:dyDescent="0.3">
      <c r="A105" s="5">
        <v>80</v>
      </c>
      <c r="B105" s="6">
        <v>1</v>
      </c>
      <c r="C105" s="6"/>
      <c r="D105" s="6">
        <v>1</v>
      </c>
    </row>
    <row r="106" spans="1:4" x14ac:dyDescent="0.3">
      <c r="A106" s="5">
        <v>89</v>
      </c>
      <c r="B106" s="6">
        <v>1</v>
      </c>
      <c r="C106" s="6"/>
      <c r="D106" s="6">
        <v>1</v>
      </c>
    </row>
    <row r="107" spans="1:4" x14ac:dyDescent="0.3">
      <c r="A107" s="5" t="s">
        <v>43</v>
      </c>
      <c r="B107" s="6">
        <v>519</v>
      </c>
      <c r="C107" s="6">
        <v>481</v>
      </c>
      <c r="D107"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showGridLines="0" tabSelected="1" zoomScale="70" zoomScaleNormal="70" workbookViewId="0">
      <selection activeCell="W17" sqref="W17"/>
    </sheetView>
  </sheetViews>
  <sheetFormatPr defaultRowHeight="14.4" x14ac:dyDescent="0.3"/>
  <sheetData>
    <row r="1" spans="1:17" x14ac:dyDescent="0.3">
      <c r="A1" s="8" t="s">
        <v>51</v>
      </c>
      <c r="B1" s="9"/>
      <c r="C1" s="9"/>
      <c r="D1" s="9"/>
      <c r="E1" s="9"/>
      <c r="F1" s="9"/>
      <c r="G1" s="9"/>
      <c r="H1" s="9"/>
      <c r="I1" s="9"/>
      <c r="J1" s="9"/>
      <c r="K1" s="9"/>
      <c r="L1" s="9"/>
      <c r="M1" s="9"/>
      <c r="N1" s="9"/>
      <c r="O1" s="9"/>
      <c r="P1" s="9"/>
      <c r="Q1" s="9"/>
    </row>
    <row r="2" spans="1:17" x14ac:dyDescent="0.3">
      <c r="A2" s="9"/>
      <c r="B2" s="9"/>
      <c r="C2" s="9"/>
      <c r="D2" s="9"/>
      <c r="E2" s="9"/>
      <c r="F2" s="9"/>
      <c r="G2" s="9"/>
      <c r="H2" s="9"/>
      <c r="I2" s="9"/>
      <c r="J2" s="9"/>
      <c r="K2" s="9"/>
      <c r="L2" s="9"/>
      <c r="M2" s="9"/>
      <c r="N2" s="9"/>
      <c r="O2" s="9"/>
      <c r="P2" s="9"/>
      <c r="Q2" s="9"/>
    </row>
    <row r="3" spans="1:17" x14ac:dyDescent="0.3">
      <c r="A3" s="9"/>
      <c r="B3" s="9"/>
      <c r="C3" s="9"/>
      <c r="D3" s="9"/>
      <c r="E3" s="9"/>
      <c r="F3" s="9"/>
      <c r="G3" s="9"/>
      <c r="H3" s="9"/>
      <c r="I3" s="9"/>
      <c r="J3" s="9"/>
      <c r="K3" s="9"/>
      <c r="L3" s="9"/>
      <c r="M3" s="9"/>
      <c r="N3" s="9"/>
      <c r="O3" s="9"/>
      <c r="P3" s="9"/>
      <c r="Q3" s="9"/>
    </row>
    <row r="4" spans="1:17" x14ac:dyDescent="0.3">
      <c r="A4" s="9"/>
      <c r="B4" s="9"/>
      <c r="C4" s="9"/>
      <c r="D4" s="9"/>
      <c r="E4" s="9"/>
      <c r="F4" s="9"/>
      <c r="G4" s="9"/>
      <c r="H4" s="9"/>
      <c r="I4" s="9"/>
      <c r="J4" s="9"/>
      <c r="K4" s="9"/>
      <c r="L4" s="9"/>
      <c r="M4" s="9"/>
      <c r="N4" s="9"/>
      <c r="O4" s="9"/>
      <c r="P4" s="9"/>
      <c r="Q4" s="9"/>
    </row>
    <row r="5" spans="1:17" x14ac:dyDescent="0.3">
      <c r="A5" s="9"/>
      <c r="B5" s="9"/>
      <c r="C5" s="9"/>
      <c r="D5" s="9"/>
      <c r="E5" s="9"/>
      <c r="F5" s="9"/>
      <c r="G5" s="9"/>
      <c r="H5" s="9"/>
      <c r="I5" s="9"/>
      <c r="J5" s="9"/>
      <c r="K5" s="9"/>
      <c r="L5" s="9"/>
      <c r="M5" s="9"/>
      <c r="N5" s="9"/>
      <c r="O5" s="9"/>
      <c r="P5" s="9"/>
      <c r="Q5" s="9"/>
    </row>
    <row r="6" spans="1:17" x14ac:dyDescent="0.3">
      <c r="A6" s="9"/>
      <c r="B6" s="9"/>
      <c r="C6" s="9"/>
      <c r="D6" s="9"/>
      <c r="E6" s="9"/>
      <c r="F6" s="9"/>
      <c r="G6" s="9"/>
      <c r="H6" s="9"/>
      <c r="I6" s="9"/>
      <c r="J6" s="9"/>
      <c r="K6" s="9"/>
      <c r="L6" s="9"/>
      <c r="M6" s="9"/>
      <c r="N6" s="9"/>
      <c r="O6" s="9"/>
      <c r="P6" s="9"/>
      <c r="Q6" s="9"/>
    </row>
  </sheetData>
  <mergeCells count="1">
    <mergeCell ref="A1:Q6"/>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dataset_bike_buyers</vt:lpstr>
      <vt:lpstr>Working Sheet</vt:lpstr>
      <vt:lpstr>Pivot Table</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2022-03-18T02:50:57Z</dcterms:created>
  <dcterms:modified xsi:type="dcterms:W3CDTF">2025-12-01T03:26:39Z</dcterms:modified>
</cp:coreProperties>
</file>