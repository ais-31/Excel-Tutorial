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Belajar Data Analyst\Excel\"/>
    </mc:Choice>
  </mc:AlternateContent>
  <bookViews>
    <workbookView xWindow="0" yWindow="0" windowWidth="23040" windowHeight="9072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M3" i="13"/>
  <c r="M4" i="13"/>
  <c r="M5" i="13"/>
  <c r="M6" i="13"/>
  <c r="M7" i="13"/>
  <c r="M8" i="13"/>
  <c r="M9" i="13"/>
  <c r="M10" i="13"/>
  <c r="M2" i="13"/>
  <c r="K3" i="13"/>
  <c r="K4" i="13"/>
  <c r="K5" i="13"/>
  <c r="K6" i="13"/>
  <c r="K7" i="13"/>
  <c r="K8" i="13"/>
  <c r="K9" i="13"/>
  <c r="K10" i="13"/>
  <c r="K2" i="13"/>
  <c r="M2" i="5"/>
  <c r="L2" i="5"/>
  <c r="K2" i="5"/>
  <c r="M2" i="12"/>
  <c r="L2" i="12"/>
  <c r="K2" i="12"/>
  <c r="L3" i="7"/>
  <c r="L4" i="7"/>
  <c r="L5" i="7"/>
  <c r="L6" i="7"/>
  <c r="L7" i="7"/>
  <c r="L8" i="7"/>
  <c r="L9" i="7"/>
  <c r="L10" i="7"/>
  <c r="L2" i="7"/>
  <c r="K2" i="7"/>
  <c r="K3" i="7"/>
  <c r="K4" i="7"/>
  <c r="K5" i="7"/>
  <c r="K6" i="7"/>
  <c r="K7" i="7"/>
  <c r="K8" i="7"/>
  <c r="K9" i="7"/>
  <c r="K10" i="7"/>
  <c r="M3" i="7"/>
  <c r="M4" i="7"/>
  <c r="M5" i="7"/>
  <c r="M6" i="7"/>
  <c r="M7" i="7"/>
  <c r="M8" i="7"/>
  <c r="M9" i="7"/>
  <c r="M10" i="7"/>
  <c r="M2" i="7"/>
  <c r="L3" i="1"/>
  <c r="L4" i="1"/>
  <c r="L5" i="1"/>
  <c r="L6" i="1"/>
  <c r="L7" i="1"/>
  <c r="L8" i="1"/>
  <c r="L9" i="1"/>
  <c r="L10" i="1"/>
  <c r="L2" i="1"/>
  <c r="K2" i="1"/>
  <c r="K3" i="1"/>
  <c r="K4" i="1"/>
  <c r="K5" i="1"/>
  <c r="K6" i="1"/>
  <c r="K7" i="1"/>
  <c r="K8" i="1"/>
  <c r="K9" i="1"/>
  <c r="K10" i="1"/>
  <c r="K3" i="6"/>
  <c r="K4" i="6"/>
  <c r="K5" i="6"/>
  <c r="K6" i="6"/>
  <c r="K7" i="6"/>
  <c r="K8" i="6"/>
  <c r="K9" i="6"/>
  <c r="K10" i="6"/>
  <c r="K2" i="6"/>
  <c r="M10" i="3"/>
  <c r="M9" i="3"/>
  <c r="M8" i="3"/>
  <c r="M7" i="3"/>
  <c r="M6" i="3"/>
  <c r="M5" i="3"/>
  <c r="M4" i="3"/>
  <c r="M3" i="3"/>
  <c r="K3" i="3"/>
  <c r="K4" i="3"/>
  <c r="K5" i="3"/>
  <c r="K6" i="3"/>
  <c r="K7" i="3"/>
  <c r="K8" i="3"/>
  <c r="K9" i="3"/>
  <c r="K10" i="3"/>
  <c r="K2" i="3"/>
  <c r="M2" i="3" s="1"/>
  <c r="N2" i="3" s="1"/>
  <c r="N3" i="4"/>
  <c r="N4" i="4"/>
  <c r="N5" i="4"/>
  <c r="N6" i="4"/>
  <c r="N7" i="4"/>
  <c r="N8" i="4"/>
  <c r="N9" i="4"/>
  <c r="N10" i="4"/>
  <c r="N2" i="4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2"/>
  <c r="K4" i="2"/>
  <c r="K5" i="2"/>
  <c r="K6" i="2"/>
  <c r="K7" i="2"/>
  <c r="K8" i="2"/>
  <c r="K9" i="2"/>
  <c r="K10" i="2"/>
  <c r="K2" i="2"/>
  <c r="K4" i="8"/>
  <c r="K5" i="8"/>
  <c r="K6" i="8"/>
  <c r="K7" i="8"/>
  <c r="K8" i="8"/>
  <c r="K9" i="8"/>
  <c r="K10" i="8"/>
  <c r="K3" i="8"/>
  <c r="K2" i="8"/>
  <c r="L2" i="9"/>
  <c r="K2" i="9"/>
  <c r="H11" i="1" l="1"/>
  <c r="H12" i="1"/>
</calcChain>
</file>

<file path=xl/sharedStrings.xml><?xml version="1.0" encoding="utf-8"?>
<sst xmlns="http://schemas.openxmlformats.org/spreadsheetml/2006/main" count="584" uniqueCount="90">
  <si>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</si>
  <si>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</si>
  <si>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</si>
  <si>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</si>
  <si>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</si>
  <si>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</si>
  <si>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</si>
  <si>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</si>
  <si>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</si>
  <si>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</si>
  <si>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</si>
  <si>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</si>
  <si>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</si>
  <si>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</si>
  <si>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</si>
  <si>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</si>
  <si>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</si>
  <si>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</si>
  <si>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</si>
  <si>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</si>
  <si>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</si>
  <si>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</si>
  <si>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</si>
  <si>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</si>
  <si>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</si>
  <si>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</si>
  <si>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</si>
  <si>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</si>
  <si>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</si>
  <si>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</si>
  <si>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</si>
  <si>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</si>
  <si>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</si>
  <si>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</si>
  <si>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</si>
  <si>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</si>
  <si>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</si>
  <si>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</si>
  <si>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</si>
  <si>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</si>
  <si>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</si>
  <si>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</si>
  <si>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</si>
  <si>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</si>
  <si>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</si>
  <si>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</si>
  <si>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</si>
  <si>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</si>
  <si>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</si>
  <si>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</si>
  <si>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</si>
  <si>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</si>
  <si>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</si>
  <si>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</si>
  <si>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</si>
  <si>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</si>
  <si>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</si>
  <si>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</si>
  <si>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</si>
  <si>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</si>
  <si>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</si>
  <si>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</si>
  <si>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</si>
  <si>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</si>
  <si>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</si>
  <si>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</si>
  <si>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</si>
  <si>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</si>
  <si>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</si>
  <si>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</si>
  <si>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</si>
  <si>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</si>
  <si>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</si>
  <si>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</si>
  <si>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</si>
  <si>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</si>
  <si>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</si>
  <si>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</si>
  <si>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</si>
  <si>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</si>
  <si>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IF</t>
  </si>
  <si>
    <t>IFS</t>
  </si>
  <si>
    <t>DAYS</t>
  </si>
  <si>
    <t>NETWORKDAYS</t>
  </si>
  <si>
    <t>MAX Salary</t>
  </si>
  <si>
    <t>Min Min Salary</t>
  </si>
  <si>
    <t>Left (First Name)</t>
  </si>
  <si>
    <t>Right (Last Name)</t>
  </si>
  <si>
    <t>Right (Years)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</si>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</sst>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168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4" fontId="0" fillId="0" borderId="0" xfId="0" applyNumberFormat="1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14" fontId="0" fillId="0" borderId="8" xfId="0" applyNumberFormat="1" applyBorder="1"/>
    <xf numFmtId="0" fontId="0" fillId="0" borderId="0" xfId="0" applyAlignment="1">
      <alignment horizontal="center"/>
    </xf>
    <xf numFmtId="0" fontId="0" fillId="0" borderId="2" xfId="0" applyNumberFormat="1" applyBorder="1"/>
    <xf numFmtId="0" fontId="0" fillId="0" borderId="0" xfId="0" applyNumberFormat="1" applyBorder="1"/>
    <xf numFmtId="49" fontId="0" fillId="0" borderId="0" xfId="0" applyNumberFormat="1" applyBorder="1"/>
    <xf numFmtId="49" fontId="0" fillId="0" borderId="5" xfId="0" applyNumberFormat="1" applyBorder="1"/>
    <xf numFmtId="0" fontId="0" fillId="0" borderId="7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168" fontId="0" fillId="0" borderId="0" xfId="0" applyNumberFormat="1" applyBorder="1"/>
    <xf numFmtId="168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tabSelected="1" zoomScale="130" zoomScaleNormal="130" workbookViewId="0">
      <selection activeCell="J13" sqref="J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t="s">
        <v>84</v>
      </c>
      <c r="L1" t="s">
        <v>85</v>
      </c>
    </row>
    <row r="2" spans="1:12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25">
        <v>45000</v>
      </c>
      <c r="H2" s="11">
        <v>37197</v>
      </c>
      <c r="I2" s="12">
        <v>42253</v>
      </c>
      <c r="K2" s="4">
        <f>MAX(G2:G10)</f>
        <v>65000</v>
      </c>
      <c r="L2" s="4">
        <f>MIN(G2:G10)</f>
        <v>36000</v>
      </c>
    </row>
    <row r="3" spans="1:12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25">
        <v>36000</v>
      </c>
      <c r="H3" s="11">
        <v>36436</v>
      </c>
      <c r="I3" s="12">
        <v>42287</v>
      </c>
      <c r="J3" s="2"/>
      <c r="K3" s="2"/>
    </row>
    <row r="4" spans="1:12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25">
        <v>63000</v>
      </c>
      <c r="H4" s="11">
        <v>36711</v>
      </c>
      <c r="I4" s="12">
        <v>42986</v>
      </c>
    </row>
    <row r="5" spans="1:12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25">
        <v>47000</v>
      </c>
      <c r="H5" s="11">
        <v>36530</v>
      </c>
      <c r="I5" s="12">
        <v>42341</v>
      </c>
    </row>
    <row r="6" spans="1:12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25">
        <v>50000</v>
      </c>
      <c r="H6" s="11">
        <v>37017</v>
      </c>
      <c r="I6" s="12">
        <v>42977</v>
      </c>
    </row>
    <row r="7" spans="1:12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25">
        <v>65000</v>
      </c>
      <c r="H7" s="11">
        <v>35040</v>
      </c>
      <c r="I7" s="12">
        <v>41528</v>
      </c>
    </row>
    <row r="8" spans="1:12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25">
        <v>41000</v>
      </c>
      <c r="H8" s="11">
        <v>37933</v>
      </c>
      <c r="I8" s="12">
        <v>41551</v>
      </c>
    </row>
    <row r="9" spans="1:12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25">
        <v>48000</v>
      </c>
      <c r="H9" s="11">
        <v>37416</v>
      </c>
      <c r="I9" s="12">
        <v>42116</v>
      </c>
    </row>
    <row r="10" spans="1:12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26">
        <v>42000</v>
      </c>
      <c r="H10" s="15">
        <v>37843</v>
      </c>
      <c r="I10" s="16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zoomScale="130" zoomScaleNormal="130" workbookViewId="0">
      <selection activeCell="K2" sqref="K2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9" max="9" width="11.44140625" customWidth="1"/>
    <col min="11" max="11" width="18.88671875" customWidth="1"/>
  </cols>
  <sheetData>
    <row r="1" spans="1:12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t="s">
        <v>80</v>
      </c>
      <c r="L1" t="s">
        <v>81</v>
      </c>
    </row>
    <row r="2" spans="1:12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11">
        <v>37197</v>
      </c>
      <c r="I2" s="12">
        <v>42253</v>
      </c>
      <c r="K2" t="str">
        <f>IF(D2:D10&gt;30,"Old","Young")</f>
        <v>Young</v>
      </c>
    </row>
    <row r="3" spans="1:12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11">
        <v>36436</v>
      </c>
      <c r="I3" s="12">
        <v>42287</v>
      </c>
      <c r="K3" t="str">
        <f>IF(D3:D10 &gt; 30, "Old", "Young")</f>
        <v>Young</v>
      </c>
    </row>
    <row r="4" spans="1:12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0">
        <v>63000</v>
      </c>
      <c r="H4" s="11">
        <v>36711</v>
      </c>
      <c r="I4" s="12">
        <v>42986</v>
      </c>
      <c r="K4" t="str">
        <f>IF(D4:D11 &gt; 30, "Old", "Young")</f>
        <v>Young</v>
      </c>
    </row>
    <row r="5" spans="1:12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11">
        <v>36530</v>
      </c>
      <c r="I5" s="12">
        <v>42341</v>
      </c>
      <c r="K5" t="str">
        <f>IF(D5:D12 &gt; 30, "Old", "Young")</f>
        <v>Old</v>
      </c>
    </row>
    <row r="6" spans="1:12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0">
        <v>50000</v>
      </c>
      <c r="H6" s="11">
        <v>37017</v>
      </c>
      <c r="I6" s="12">
        <v>42977</v>
      </c>
      <c r="K6" t="str">
        <f>IF(D6:D13 &gt; 30, "Old", "Young")</f>
        <v>Old</v>
      </c>
    </row>
    <row r="7" spans="1:12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0">
        <v>65000</v>
      </c>
      <c r="H7" s="11">
        <v>35040</v>
      </c>
      <c r="I7" s="12">
        <v>41528</v>
      </c>
      <c r="K7" t="str">
        <f>IF(D7:D14 &gt; 30, "Old", "Young")</f>
        <v>Old</v>
      </c>
    </row>
    <row r="8" spans="1:12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11">
        <v>37933</v>
      </c>
      <c r="I8" s="12">
        <v>41551</v>
      </c>
      <c r="K8" t="str">
        <f>IF(D8:D15 &gt; 30, "Old", "Young")</f>
        <v>Old</v>
      </c>
    </row>
    <row r="9" spans="1:12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0">
        <v>48000</v>
      </c>
      <c r="H9" s="11">
        <v>37416</v>
      </c>
      <c r="I9" s="12">
        <v>42116</v>
      </c>
      <c r="K9" t="str">
        <f>IF(D9:D16 &gt; 30, "Old", "Young")</f>
        <v>Old</v>
      </c>
    </row>
    <row r="10" spans="1:12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14">
        <v>42000</v>
      </c>
      <c r="H10" s="15">
        <v>37843</v>
      </c>
      <c r="I10" s="16">
        <v>40800</v>
      </c>
      <c r="K10" t="str">
        <f>IF(D10:D17 &gt; 30, "Old", "Young")</f>
        <v>Old</v>
      </c>
    </row>
  </sheetData>
  <pageMargins left="0.7" right="0.7" top="0.75" bottom="0.75" header="0.3" footer="0.3"/>
  <ignoredErrors>
    <ignoredError sqref="K3:K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J12" sqref="J12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t="s">
        <v>19</v>
      </c>
      <c r="L1" t="s">
        <v>35</v>
      </c>
    </row>
    <row r="2" spans="1:12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11">
        <v>37197</v>
      </c>
      <c r="I2" s="12">
        <v>42253</v>
      </c>
      <c r="K2">
        <f>LEN(C2:C10)</f>
        <v>7</v>
      </c>
    </row>
    <row r="3" spans="1:12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11">
        <v>36436</v>
      </c>
      <c r="I3" s="12">
        <v>42287</v>
      </c>
      <c r="K3">
        <f>LEN(C3:C11)</f>
        <v>7</v>
      </c>
    </row>
    <row r="4" spans="1:12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0">
        <v>63000</v>
      </c>
      <c r="H4" s="11">
        <v>36711</v>
      </c>
      <c r="I4" s="12">
        <v>42986</v>
      </c>
      <c r="K4">
        <f>LEN(C4:C12)</f>
        <v>7</v>
      </c>
    </row>
    <row r="5" spans="1:12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11">
        <v>36530</v>
      </c>
      <c r="I5" s="12">
        <v>42341</v>
      </c>
      <c r="K5">
        <f>LEN(C5:C13)</f>
        <v>6</v>
      </c>
    </row>
    <row r="6" spans="1:12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0">
        <v>50000</v>
      </c>
      <c r="H6" s="11">
        <v>37017</v>
      </c>
      <c r="I6" s="12">
        <v>42977</v>
      </c>
      <c r="K6">
        <f>LEN(C6:C14)</f>
        <v>10</v>
      </c>
    </row>
    <row r="7" spans="1:12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0">
        <v>65000</v>
      </c>
      <c r="H7" s="11">
        <v>35040</v>
      </c>
      <c r="I7" s="12">
        <v>41528</v>
      </c>
      <c r="K7">
        <f>LEN(C7:C15)</f>
        <v>5</v>
      </c>
    </row>
    <row r="8" spans="1:12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11">
        <v>37933</v>
      </c>
      <c r="I8" s="12">
        <v>41551</v>
      </c>
      <c r="K8">
        <f>LEN(C8:C16)</f>
        <v>6</v>
      </c>
    </row>
    <row r="9" spans="1:12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0">
        <v>48000</v>
      </c>
      <c r="H9" s="11">
        <v>37416</v>
      </c>
      <c r="I9" s="12">
        <v>42116</v>
      </c>
      <c r="K9">
        <f>LEN(C9:C17)</f>
        <v>6</v>
      </c>
    </row>
    <row r="10" spans="1:12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14">
        <v>42000</v>
      </c>
      <c r="H10" s="15">
        <v>37843</v>
      </c>
      <c r="I10" s="16">
        <v>40800</v>
      </c>
      <c r="K10">
        <f>LEN(C10:C18)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10"/>
  <sheetViews>
    <sheetView workbookViewId="0">
      <selection activeCell="J1" sqref="A1:J10"/>
    </sheetView>
  </sheetViews>
  <sheetFormatPr defaultColWidth="14.5546875" defaultRowHeight="14.4" x14ac:dyDescent="0.3"/>
  <cols>
    <col min="4" max="4" width="8" customWidth="1"/>
    <col min="10" max="10" width="41.109375" customWidth="1"/>
    <col min="11" max="11" width="9.21875" customWidth="1"/>
    <col min="12" max="12" width="17.6640625" customWidth="1"/>
  </cols>
  <sheetData>
    <row r="1" spans="1:14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7" t="s">
        <v>37</v>
      </c>
      <c r="J1" s="8" t="s">
        <v>38</v>
      </c>
      <c r="L1" t="s">
        <v>86</v>
      </c>
      <c r="M1" t="s">
        <v>87</v>
      </c>
      <c r="N1" t="s">
        <v>88</v>
      </c>
    </row>
    <row r="2" spans="1:14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20" t="s">
        <v>48</v>
      </c>
      <c r="I2" s="20" t="s">
        <v>56</v>
      </c>
      <c r="J2" s="12" t="s">
        <v>39</v>
      </c>
      <c r="L2" t="str">
        <f>LEFT(B2:B10,3)</f>
        <v>Jim</v>
      </c>
      <c r="M2" t="str">
        <f>+RIGHT(C2:C10,3)</f>
        <v>ert</v>
      </c>
      <c r="N2" t="str">
        <f>RIGHT(H2:H10, 4)</f>
        <v>2001</v>
      </c>
    </row>
    <row r="3" spans="1:14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20" t="s">
        <v>49</v>
      </c>
      <c r="I3" s="20" t="s">
        <v>57</v>
      </c>
      <c r="J3" s="12" t="s">
        <v>40</v>
      </c>
      <c r="L3" t="str">
        <f>LEFT(B3:B11,3)</f>
        <v>Pam</v>
      </c>
      <c r="M3" t="str">
        <f>+RIGHT(C3:C11,3)</f>
        <v>ley</v>
      </c>
      <c r="N3" t="str">
        <f>RIGHT(H3:H11, 4)</f>
        <v>1999</v>
      </c>
    </row>
    <row r="4" spans="1:14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0">
        <v>63000</v>
      </c>
      <c r="H4" s="20" t="s">
        <v>50</v>
      </c>
      <c r="I4" s="20" t="s">
        <v>58</v>
      </c>
      <c r="J4" s="12" t="s">
        <v>41</v>
      </c>
      <c r="L4" t="str">
        <f>LEFT(B4:B12,3)</f>
        <v>Dwi</v>
      </c>
      <c r="M4" t="str">
        <f>+RIGHT(C4:C12,3)</f>
        <v>ute</v>
      </c>
      <c r="N4" t="str">
        <f>RIGHT(H4:H12, 4)</f>
        <v>2000</v>
      </c>
    </row>
    <row r="5" spans="1:14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20" t="s">
        <v>51</v>
      </c>
      <c r="I5" s="20" t="s">
        <v>59</v>
      </c>
      <c r="J5" s="12" t="s">
        <v>42</v>
      </c>
      <c r="L5" t="str">
        <f>LEFT(B5:B13,3)</f>
        <v>Ang</v>
      </c>
      <c r="M5" t="str">
        <f>+RIGHT(C5:C13,3)</f>
        <v>tin</v>
      </c>
      <c r="N5" t="str">
        <f>RIGHT(H5:H13, 4)</f>
        <v>2000</v>
      </c>
    </row>
    <row r="6" spans="1:14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0">
        <v>50000</v>
      </c>
      <c r="H6" s="20" t="s">
        <v>52</v>
      </c>
      <c r="I6" s="20" t="s">
        <v>60</v>
      </c>
      <c r="J6" s="12" t="s">
        <v>43</v>
      </c>
      <c r="L6" t="str">
        <f>LEFT(B6:B14,3)</f>
        <v>Tob</v>
      </c>
      <c r="M6" t="str">
        <f>+RIGHT(C6:C14,3)</f>
        <v>son</v>
      </c>
      <c r="N6" t="str">
        <f>RIGHT(H6:H14, 4)</f>
        <v>2001</v>
      </c>
    </row>
    <row r="7" spans="1:14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0">
        <v>65000</v>
      </c>
      <c r="H7" s="20" t="s">
        <v>52</v>
      </c>
      <c r="I7" s="20" t="s">
        <v>61</v>
      </c>
      <c r="J7" s="12" t="s">
        <v>44</v>
      </c>
      <c r="L7" t="str">
        <f>LEFT(B7:B15,3)</f>
        <v>Mic</v>
      </c>
      <c r="M7" t="str">
        <f>+RIGHT(C7:C15,3)</f>
        <v>ott</v>
      </c>
      <c r="N7" t="str">
        <f>RIGHT(H7:H15, 4)</f>
        <v>2001</v>
      </c>
    </row>
    <row r="8" spans="1:14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20" t="s">
        <v>53</v>
      </c>
      <c r="I8" s="20" t="s">
        <v>61</v>
      </c>
      <c r="J8" s="12" t="s">
        <v>45</v>
      </c>
      <c r="L8" t="str">
        <f>LEFT(B8:B16,3)</f>
        <v>Mer</v>
      </c>
      <c r="M8" t="str">
        <f>+RIGHT(C8:C16,3)</f>
        <v>mer</v>
      </c>
      <c r="N8" t="str">
        <f>RIGHT(H8:H16, 4)</f>
        <v>2003</v>
      </c>
    </row>
    <row r="9" spans="1:14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0">
        <v>48000</v>
      </c>
      <c r="H9" s="20" t="s">
        <v>54</v>
      </c>
      <c r="I9" s="20" t="s">
        <v>62</v>
      </c>
      <c r="J9" s="12" t="s">
        <v>46</v>
      </c>
      <c r="L9" t="str">
        <f>LEFT(B9:B17,3)</f>
        <v>Sta</v>
      </c>
      <c r="M9" t="str">
        <f>+RIGHT(C9:C17,3)</f>
        <v>son</v>
      </c>
      <c r="N9" t="str">
        <f>RIGHT(H9:H17, 4)</f>
        <v>2002</v>
      </c>
    </row>
    <row r="10" spans="1:14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14">
        <v>42000</v>
      </c>
      <c r="H10" s="23" t="s">
        <v>55</v>
      </c>
      <c r="I10" s="23" t="s">
        <v>62</v>
      </c>
      <c r="J10" s="16" t="s">
        <v>47</v>
      </c>
      <c r="L10" t="str">
        <f>LEFT(B10:B18,3)</f>
        <v>Kev</v>
      </c>
      <c r="M10" t="str">
        <f>+RIGHT(C10:C18,3)</f>
        <v>one</v>
      </c>
      <c r="N10" t="str">
        <f>RIGHT(H10:H18, 4)</f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13"/>
  <sheetViews>
    <sheetView zoomScale="115" zoomScaleNormal="115" workbookViewId="0">
      <selection activeCell="I10" sqref="A1:I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4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t="s">
        <v>70</v>
      </c>
    </row>
    <row r="2" spans="1:14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11">
        <v>37197</v>
      </c>
      <c r="I2" s="12">
        <v>42253</v>
      </c>
      <c r="K2" t="str">
        <f>TEXT(H2:H10, "dd/mm/yyyy")</f>
        <v>02/11/2001</v>
      </c>
      <c r="M2" t="str">
        <f>TEXT(K2:K10, "dd/mm/yyyy")</f>
        <v>11/02/2001</v>
      </c>
      <c r="N2" t="str">
        <f>RIGHT(M2:M10, 4)</f>
        <v>2001</v>
      </c>
    </row>
    <row r="3" spans="1:14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11">
        <v>36436</v>
      </c>
      <c r="I3" s="12">
        <v>42287</v>
      </c>
      <c r="K3" t="str">
        <f>TEXT(H3:H11, "dd/mm/yyyy")</f>
        <v>03/10/1999</v>
      </c>
      <c r="M3" t="str">
        <f>TEXT(J3:J11, "dd/mm/yyyy")</f>
        <v>00/01/1900</v>
      </c>
      <c r="N3" t="str">
        <f t="shared" ref="N3:N10" si="0">RIGHT(M3:M11, 4)</f>
        <v>1900</v>
      </c>
    </row>
    <row r="4" spans="1:14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0">
        <v>63000</v>
      </c>
      <c r="H4" s="11">
        <v>36711</v>
      </c>
      <c r="I4" s="12">
        <v>42986</v>
      </c>
      <c r="K4" t="str">
        <f>TEXT(H4:H12, "dd/mm/yyyy")</f>
        <v>04/07/2000</v>
      </c>
      <c r="M4" t="str">
        <f>TEXT(J4:J12, "dd/mm/yyyy")</f>
        <v>00/01/1900</v>
      </c>
      <c r="N4" t="str">
        <f t="shared" si="0"/>
        <v>1900</v>
      </c>
    </row>
    <row r="5" spans="1:14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11">
        <v>36530</v>
      </c>
      <c r="I5" s="12">
        <v>42341</v>
      </c>
      <c r="K5" t="str">
        <f>TEXT(H5:H13, "dd/mm/yyyy")</f>
        <v>05/01/2000</v>
      </c>
      <c r="M5" t="str">
        <f>TEXT(J5:J13, "dd/mm/yyyy")</f>
        <v>00/01/1900</v>
      </c>
      <c r="N5" t="str">
        <f t="shared" si="0"/>
        <v>1900</v>
      </c>
    </row>
    <row r="6" spans="1:14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0">
        <v>50000</v>
      </c>
      <c r="H6" s="11">
        <v>37017</v>
      </c>
      <c r="I6" s="12">
        <v>42977</v>
      </c>
      <c r="K6" t="str">
        <f>TEXT(H6:H14, "dd/mm/yyyy")</f>
        <v>06/05/2001</v>
      </c>
      <c r="M6" t="str">
        <f>TEXT(J6:J14, "dd/mm/yyyy")</f>
        <v>00/01/1900</v>
      </c>
      <c r="N6" t="str">
        <f t="shared" si="0"/>
        <v>1900</v>
      </c>
    </row>
    <row r="7" spans="1:14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0">
        <v>65000</v>
      </c>
      <c r="H7" s="11">
        <v>35040</v>
      </c>
      <c r="I7" s="12">
        <v>41528</v>
      </c>
      <c r="K7" t="str">
        <f>TEXT(H7:H15, "dd/mm/yyyy")</f>
        <v>07/12/1995</v>
      </c>
      <c r="M7" t="str">
        <f>TEXT(J7:J15, "dd/mm/yyyy")</f>
        <v>00/01/1900</v>
      </c>
      <c r="N7" t="str">
        <f t="shared" si="0"/>
        <v>1900</v>
      </c>
    </row>
    <row r="8" spans="1:14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11">
        <v>37933</v>
      </c>
      <c r="I8" s="12">
        <v>41551</v>
      </c>
      <c r="K8" t="str">
        <f>TEXT(H8:H16, "dd/mm/yyyy")</f>
        <v>08/11/2003</v>
      </c>
      <c r="M8" t="str">
        <f>TEXT(J8:J16, "dd/mm/yyyy")</f>
        <v>00/01/1900</v>
      </c>
      <c r="N8" t="str">
        <f t="shared" si="0"/>
        <v>1900</v>
      </c>
    </row>
    <row r="9" spans="1:14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0">
        <v>48000</v>
      </c>
      <c r="H9" s="11">
        <v>37416</v>
      </c>
      <c r="I9" s="12">
        <v>42116</v>
      </c>
      <c r="K9" t="str">
        <f>TEXT(H9:H17, "dd/mm/yyyy")</f>
        <v>09/06/2002</v>
      </c>
      <c r="M9" t="str">
        <f>TEXT(J9:J17, "dd/mm/yyyy")</f>
        <v>00/01/1900</v>
      </c>
      <c r="N9" t="str">
        <f t="shared" si="0"/>
        <v>1900</v>
      </c>
    </row>
    <row r="10" spans="1:14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14">
        <v>42000</v>
      </c>
      <c r="H10" s="15">
        <v>37843</v>
      </c>
      <c r="I10" s="16">
        <v>40800</v>
      </c>
      <c r="K10" t="str">
        <f>TEXT(H10:H18, "dd/mm/yyyy")</f>
        <v>10/08/2003</v>
      </c>
      <c r="M10" t="str">
        <f>TEXT(J10:J18, "dd/mm/yyyy")</f>
        <v>00/01/1900</v>
      </c>
      <c r="N10" t="str">
        <f t="shared" si="0"/>
        <v>1900</v>
      </c>
    </row>
    <row r="12" spans="1:14" x14ac:dyDescent="0.3">
      <c r="H12" s="1"/>
    </row>
    <row r="13" spans="1:14" x14ac:dyDescent="0.3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C2" sqref="C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s="5" t="s">
        <v>68</v>
      </c>
      <c r="L1" t="s">
        <v>69</v>
      </c>
    </row>
    <row r="2" spans="1:12" x14ac:dyDescent="0.3">
      <c r="A2" s="9">
        <v>1001</v>
      </c>
      <c r="B2" s="20" t="s">
        <v>2</v>
      </c>
      <c r="C2" s="2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11">
        <v>37197</v>
      </c>
      <c r="I2" s="12">
        <v>42253</v>
      </c>
      <c r="K2" t="str">
        <f>TRIM(C2:C10)</f>
        <v>Halpert</v>
      </c>
    </row>
    <row r="3" spans="1:12" x14ac:dyDescent="0.3">
      <c r="A3" s="9">
        <v>1002</v>
      </c>
      <c r="B3" s="20" t="s">
        <v>4</v>
      </c>
      <c r="C3" s="2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11">
        <v>36436</v>
      </c>
      <c r="I3" s="12">
        <v>42287</v>
      </c>
      <c r="K3" t="str">
        <f>TRIM(C3:C11)</f>
        <v>Beasley</v>
      </c>
    </row>
    <row r="4" spans="1:12" x14ac:dyDescent="0.3">
      <c r="A4" s="9">
        <v>1003</v>
      </c>
      <c r="B4" s="20" t="s">
        <v>6</v>
      </c>
      <c r="C4" s="20" t="s">
        <v>67</v>
      </c>
      <c r="D4" s="10">
        <v>29</v>
      </c>
      <c r="E4" s="10" t="s">
        <v>26</v>
      </c>
      <c r="F4" s="10" t="s">
        <v>25</v>
      </c>
      <c r="G4" s="10">
        <v>63000</v>
      </c>
      <c r="H4" s="11">
        <v>36711</v>
      </c>
      <c r="I4" s="12">
        <v>42986</v>
      </c>
      <c r="K4" t="str">
        <f>TRIM(C4:C12)</f>
        <v>Schrute</v>
      </c>
    </row>
    <row r="5" spans="1:12" x14ac:dyDescent="0.3">
      <c r="A5" s="9">
        <v>1004</v>
      </c>
      <c r="B5" s="20" t="s">
        <v>13</v>
      </c>
      <c r="C5" s="2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11">
        <v>36530</v>
      </c>
      <c r="I5" s="12">
        <v>42341</v>
      </c>
      <c r="K5" t="str">
        <f>TRIM(C5:C13)</f>
        <v>Martin</v>
      </c>
    </row>
    <row r="6" spans="1:12" x14ac:dyDescent="0.3">
      <c r="A6" s="9">
        <v>1005</v>
      </c>
      <c r="B6" s="20" t="s">
        <v>14</v>
      </c>
      <c r="C6" s="20" t="s">
        <v>66</v>
      </c>
      <c r="D6" s="10">
        <v>32</v>
      </c>
      <c r="E6" s="10" t="s">
        <v>26</v>
      </c>
      <c r="F6" s="10" t="s">
        <v>30</v>
      </c>
      <c r="G6" s="10">
        <v>50000</v>
      </c>
      <c r="H6" s="11">
        <v>37017</v>
      </c>
      <c r="I6" s="12">
        <v>42977</v>
      </c>
      <c r="K6" t="str">
        <f>TRIM(C6:C14)</f>
        <v>Flenderson</v>
      </c>
    </row>
    <row r="7" spans="1:12" x14ac:dyDescent="0.3">
      <c r="A7" s="9">
        <v>1006</v>
      </c>
      <c r="B7" s="20" t="s">
        <v>8</v>
      </c>
      <c r="C7" s="20" t="s">
        <v>65</v>
      </c>
      <c r="D7" s="10">
        <v>35</v>
      </c>
      <c r="E7" s="10" t="s">
        <v>26</v>
      </c>
      <c r="F7" s="10" t="s">
        <v>31</v>
      </c>
      <c r="G7" s="10">
        <v>65000</v>
      </c>
      <c r="H7" s="11">
        <v>35040</v>
      </c>
      <c r="I7" s="12">
        <v>41528</v>
      </c>
      <c r="K7" t="str">
        <f>TRIM(C7:C15)</f>
        <v>Scott</v>
      </c>
    </row>
    <row r="8" spans="1:12" x14ac:dyDescent="0.3">
      <c r="A8" s="9">
        <v>1007</v>
      </c>
      <c r="B8" s="20" t="s">
        <v>33</v>
      </c>
      <c r="C8" s="2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11">
        <v>37933</v>
      </c>
      <c r="I8" s="12">
        <v>41551</v>
      </c>
      <c r="K8" t="str">
        <f>TRIM(C8:C16)</f>
        <v>Palmer</v>
      </c>
    </row>
    <row r="9" spans="1:12" x14ac:dyDescent="0.3">
      <c r="A9" s="9">
        <v>1008</v>
      </c>
      <c r="B9" s="20" t="s">
        <v>16</v>
      </c>
      <c r="C9" s="20" t="s">
        <v>64</v>
      </c>
      <c r="D9" s="10">
        <v>38</v>
      </c>
      <c r="E9" s="10" t="s">
        <v>26</v>
      </c>
      <c r="F9" s="10" t="s">
        <v>25</v>
      </c>
      <c r="G9" s="10">
        <v>48000</v>
      </c>
      <c r="H9" s="11">
        <v>37416</v>
      </c>
      <c r="I9" s="12">
        <v>42116</v>
      </c>
      <c r="K9" t="str">
        <f>TRIM(C9:C17)</f>
        <v>Hudson</v>
      </c>
    </row>
    <row r="10" spans="1:12" x14ac:dyDescent="0.3">
      <c r="A10" s="13">
        <v>1009</v>
      </c>
      <c r="B10" s="23" t="s">
        <v>10</v>
      </c>
      <c r="C10" s="23" t="s">
        <v>63</v>
      </c>
      <c r="D10" s="14">
        <v>31</v>
      </c>
      <c r="E10" s="14" t="s">
        <v>26</v>
      </c>
      <c r="F10" s="14" t="s">
        <v>29</v>
      </c>
      <c r="G10" s="14">
        <v>42000</v>
      </c>
      <c r="H10" s="15">
        <v>37843</v>
      </c>
      <c r="I10" s="16">
        <v>40800</v>
      </c>
      <c r="K10" t="str">
        <f>TRIM(C10:C18)</f>
        <v>Malone</v>
      </c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2"/>
  <sheetViews>
    <sheetView workbookViewId="0">
      <selection activeCell="K6" sqref="K6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8.44140625" customWidth="1"/>
    <col min="11" max="11" width="19.109375" customWidth="1"/>
    <col min="12" max="12" width="25.5546875" customWidth="1"/>
  </cols>
  <sheetData>
    <row r="1" spans="1:12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s="5" t="s">
        <v>18</v>
      </c>
    </row>
    <row r="2" spans="1:12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11">
        <v>37197</v>
      </c>
      <c r="I2" s="12" t="s">
        <v>89</v>
      </c>
      <c r="K2" t="str">
        <f>CONCATENATE(B2, " ", C2)</f>
        <v>Jim Halpert</v>
      </c>
      <c r="L2" t="str">
        <f>CONCATENATE(B2, ".", C2, "@gmail.com")</f>
        <v>Jim.Halpert@gmail.com</v>
      </c>
    </row>
    <row r="3" spans="1:12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11">
        <v>36436</v>
      </c>
      <c r="I3" s="12">
        <v>42287</v>
      </c>
      <c r="K3" t="str">
        <f>CONCATENATE(B3, " ", C3)</f>
        <v>Pam Beasley</v>
      </c>
      <c r="L3" t="str">
        <f>CONCATENATE(B3, ".", C3, "@gmail.com")</f>
        <v>Pam.Beasley@gmail.com</v>
      </c>
    </row>
    <row r="4" spans="1:12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0">
        <v>63000</v>
      </c>
      <c r="H4" s="11">
        <v>36711</v>
      </c>
      <c r="I4" s="12">
        <v>42986</v>
      </c>
      <c r="K4" t="str">
        <f>CONCATENATE(B4, " ", C4)</f>
        <v>Dwight Schrute</v>
      </c>
      <c r="L4" t="str">
        <f>CONCATENATE(B4, ".", C4, "@gmail.com")</f>
        <v>Dwight.Schrute@gmail.com</v>
      </c>
    </row>
    <row r="5" spans="1:12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11">
        <v>36530</v>
      </c>
      <c r="I5" s="12">
        <v>42341</v>
      </c>
      <c r="K5" t="str">
        <f>CONCATENATE(B5, " ", C5)</f>
        <v>Angela Martin</v>
      </c>
      <c r="L5" t="str">
        <f>CONCATENATE(B5, ".", C5, "@gmail.com")</f>
        <v>Angela.Martin@gmail.com</v>
      </c>
    </row>
    <row r="6" spans="1:12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0">
        <v>50000</v>
      </c>
      <c r="H6" s="11">
        <v>37017</v>
      </c>
      <c r="I6" s="12">
        <v>42977</v>
      </c>
      <c r="K6" t="str">
        <f>CONCATENATE(B6, " ", C6)</f>
        <v>Toby Flenderson</v>
      </c>
      <c r="L6" t="str">
        <f>CONCATENATE(B6, ".", C6, "@gmail.com")</f>
        <v>Toby.Flenderson@gmail.com</v>
      </c>
    </row>
    <row r="7" spans="1:12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0">
        <v>65000</v>
      </c>
      <c r="H7" s="11">
        <v>35040</v>
      </c>
      <c r="I7" s="12">
        <v>41528</v>
      </c>
      <c r="K7" t="str">
        <f>CONCATENATE(B7, " ", C7)</f>
        <v>Michael Scott</v>
      </c>
      <c r="L7" t="str">
        <f>CONCATENATE(B7, ".", C7, "@gmail.com")</f>
        <v>Michael.Scott@gmail.com</v>
      </c>
    </row>
    <row r="8" spans="1:12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11">
        <v>37933</v>
      </c>
      <c r="I8" s="12">
        <v>41551</v>
      </c>
      <c r="K8" t="str">
        <f>CONCATENATE(B8, " ", C8)</f>
        <v>Meredith Palmer</v>
      </c>
      <c r="L8" t="str">
        <f>CONCATENATE(B8, ".", C8, "@gmail.com")</f>
        <v>Meredith.Palmer@gmail.com</v>
      </c>
    </row>
    <row r="9" spans="1:12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0">
        <v>48000</v>
      </c>
      <c r="H9" s="11">
        <v>37416</v>
      </c>
      <c r="I9" s="12">
        <v>42116</v>
      </c>
      <c r="K9" t="str">
        <f>CONCATENATE(B9, " ", C9)</f>
        <v>Stanley Hudson</v>
      </c>
      <c r="L9" t="str">
        <f>CONCATENATE(B9, ".", C9, "@gmail.com")</f>
        <v>Stanley.Hudson@gmail.com</v>
      </c>
    </row>
    <row r="10" spans="1:12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14">
        <v>42000</v>
      </c>
      <c r="H10" s="15">
        <v>37843</v>
      </c>
      <c r="I10" s="16">
        <v>40800</v>
      </c>
      <c r="K10" t="str">
        <f>CONCATENATE(B10, " ", C10)</f>
        <v>Kevin Malone</v>
      </c>
      <c r="L10" t="str">
        <f>CONCATENATE(B10, ".", C10, "@gmail.com")</f>
        <v>Kevin.Malone@gmail.com</v>
      </c>
    </row>
    <row r="11" spans="1:12" x14ac:dyDescent="0.3">
      <c r="H11" t="str">
        <f t="shared" ref="H11:H12" si="0">CONCATENATE(B11," ",C11)</f>
        <v xml:space="preserve"> </v>
      </c>
    </row>
    <row r="12" spans="1:12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20"/>
  <sheetViews>
    <sheetView workbookViewId="0">
      <selection activeCell="E30" sqref="E30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7" max="7" width="13.6640625" style="2"/>
  </cols>
  <sheetData>
    <row r="1" spans="1:13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18" t="s">
        <v>22</v>
      </c>
      <c r="H1" s="7" t="s">
        <v>36</v>
      </c>
      <c r="I1" s="8" t="s">
        <v>37</v>
      </c>
      <c r="K1" s="5" t="s">
        <v>71</v>
      </c>
      <c r="L1" s="5" t="s">
        <v>72</v>
      </c>
      <c r="M1" s="5" t="s">
        <v>73</v>
      </c>
    </row>
    <row r="2" spans="1:13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9">
        <v>45000</v>
      </c>
      <c r="H2" s="20" t="s">
        <v>48</v>
      </c>
      <c r="I2" s="21" t="s">
        <v>56</v>
      </c>
      <c r="K2" t="str">
        <f>SUBSTITUTE(H2:H10, "/", "-", 1)</f>
        <v>11-2/2001</v>
      </c>
      <c r="L2" t="str">
        <f>SUBSTITUTE(H2:H10, "/", "-", 2)</f>
        <v>11/2-2001</v>
      </c>
      <c r="M2" t="str">
        <f>SUBSTITUTE(H2:H10,"/","-")</f>
        <v>11-2-2001</v>
      </c>
    </row>
    <row r="3" spans="1:13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9">
        <v>36000</v>
      </c>
      <c r="H3" s="20" t="s">
        <v>49</v>
      </c>
      <c r="I3" s="21" t="s">
        <v>57</v>
      </c>
      <c r="K3" t="str">
        <f>SUBSTITUTE(H3:H11, "/", "-", 1)</f>
        <v>10-3/1999</v>
      </c>
      <c r="L3" t="str">
        <f>SUBSTITUTE(H3:H11, "/", "-", 2)</f>
        <v>10/3-1999</v>
      </c>
      <c r="M3" t="str">
        <f>SUBSTITUTE(H3:H11,"/","-")</f>
        <v>10-3-1999</v>
      </c>
    </row>
    <row r="4" spans="1:13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9">
        <v>63000</v>
      </c>
      <c r="H4" s="20" t="s">
        <v>50</v>
      </c>
      <c r="I4" s="21" t="s">
        <v>58</v>
      </c>
      <c r="K4" t="str">
        <f>SUBSTITUTE(H4:H12, "/", "-", 1)</f>
        <v>7-4/2000</v>
      </c>
      <c r="L4" t="str">
        <f>SUBSTITUTE(H4:H12, "/", "-", 2)</f>
        <v>7/4-2000</v>
      </c>
      <c r="M4" t="str">
        <f>SUBSTITUTE(H4:H12,"/","-")</f>
        <v>7-4-2000</v>
      </c>
    </row>
    <row r="5" spans="1:13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9">
        <v>47000</v>
      </c>
      <c r="H5" s="20" t="s">
        <v>51</v>
      </c>
      <c r="I5" s="21" t="s">
        <v>59</v>
      </c>
      <c r="K5" t="str">
        <f>SUBSTITUTE(H5:H13, "/", "-", 1)</f>
        <v>1-5/2000</v>
      </c>
      <c r="L5" t="str">
        <f>SUBSTITUTE(H5:H13, "/", "-", 2)</f>
        <v>1/5-2000</v>
      </c>
      <c r="M5" t="str">
        <f>SUBSTITUTE(H5:H13,"/","-")</f>
        <v>1-5-2000</v>
      </c>
    </row>
    <row r="6" spans="1:13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9">
        <v>50000</v>
      </c>
      <c r="H6" s="20" t="s">
        <v>52</v>
      </c>
      <c r="I6" s="21" t="s">
        <v>60</v>
      </c>
      <c r="K6" t="str">
        <f>SUBSTITUTE(H6:H14, "/", "-", 1)</f>
        <v>5-6/2001</v>
      </c>
      <c r="L6" t="str">
        <f>SUBSTITUTE(H6:H14, "/", "-", 2)</f>
        <v>5/6-2001</v>
      </c>
      <c r="M6" t="str">
        <f>SUBSTITUTE(H6:H14,"/","-")</f>
        <v>5-6-2001</v>
      </c>
    </row>
    <row r="7" spans="1:13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9">
        <v>65000</v>
      </c>
      <c r="H7" s="20" t="s">
        <v>52</v>
      </c>
      <c r="I7" s="21" t="s">
        <v>61</v>
      </c>
      <c r="K7" t="str">
        <f>SUBSTITUTE(H7:H15, "/", "-", 1)</f>
        <v>5-6/2001</v>
      </c>
      <c r="L7" t="str">
        <f>SUBSTITUTE(H7:H15, "/", "-", 2)</f>
        <v>5/6-2001</v>
      </c>
      <c r="M7" t="str">
        <f>SUBSTITUTE(H7:H15,"/","-")</f>
        <v>5-6-2001</v>
      </c>
    </row>
    <row r="8" spans="1:13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9">
        <v>41000</v>
      </c>
      <c r="H8" s="20" t="s">
        <v>53</v>
      </c>
      <c r="I8" s="21" t="s">
        <v>61</v>
      </c>
      <c r="K8" t="str">
        <f>SUBSTITUTE(H8:H16, "/", "-", 1)</f>
        <v>11-8/2003</v>
      </c>
      <c r="L8" t="str">
        <f>SUBSTITUTE(H8:H16, "/", "-", 2)</f>
        <v>11/8-2003</v>
      </c>
      <c r="M8" t="str">
        <f>SUBSTITUTE(H8:H16,"/","-")</f>
        <v>11-8-2003</v>
      </c>
    </row>
    <row r="9" spans="1:13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9">
        <v>48000</v>
      </c>
      <c r="H9" s="20" t="s">
        <v>54</v>
      </c>
      <c r="I9" s="21" t="s">
        <v>62</v>
      </c>
      <c r="K9" t="str">
        <f>SUBSTITUTE(H9:H17, "/", "-", 1)</f>
        <v>6-9/2002</v>
      </c>
      <c r="L9" t="str">
        <f>SUBSTITUTE(H9:H17, "/", "-", 2)</f>
        <v>6/9-2002</v>
      </c>
      <c r="M9" t="str">
        <f>SUBSTITUTE(H9:H17,"/","-")</f>
        <v>6-9-2002</v>
      </c>
    </row>
    <row r="10" spans="1:13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22">
        <v>42000</v>
      </c>
      <c r="H10" s="23" t="s">
        <v>55</v>
      </c>
      <c r="I10" s="24" t="s">
        <v>62</v>
      </c>
      <c r="K10" t="str">
        <f>SUBSTITUTE(H10:H18, "/", "-", 1)</f>
        <v>8-10/2003</v>
      </c>
      <c r="L10" t="str">
        <f>SUBSTITUTE(H10:H18, "/", "-", 2)</f>
        <v>8/10-2003</v>
      </c>
      <c r="M10" t="str">
        <f>SUBSTITUTE(H10:H18,"/","-")</f>
        <v>8-10-2003</v>
      </c>
    </row>
    <row r="12" spans="1:13" x14ac:dyDescent="0.3">
      <c r="H12" s="3"/>
      <c r="I12" s="3"/>
    </row>
    <row r="13" spans="1:13" x14ac:dyDescent="0.3">
      <c r="H13" s="3"/>
      <c r="I13" s="3"/>
    </row>
    <row r="14" spans="1:13" x14ac:dyDescent="0.3">
      <c r="H14" s="3"/>
      <c r="I14" s="3"/>
    </row>
    <row r="15" spans="1:13" x14ac:dyDescent="0.3">
      <c r="H15" s="3"/>
      <c r="I15" s="3"/>
    </row>
    <row r="16" spans="1:13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zoomScale="115" zoomScaleNormal="115" workbookViewId="0">
      <selection activeCell="G7" sqref="G7"/>
    </sheetView>
  </sheetViews>
  <sheetFormatPr defaultColWidth="13" defaultRowHeight="14.4" x14ac:dyDescent="0.3"/>
  <sheetData>
    <row r="1" spans="1:13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s="17" t="s">
        <v>74</v>
      </c>
      <c r="L1" s="17" t="s">
        <v>75</v>
      </c>
      <c r="M1" s="17" t="s">
        <v>76</v>
      </c>
    </row>
    <row r="2" spans="1:13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11">
        <v>37197</v>
      </c>
      <c r="I2" s="12">
        <v>42253</v>
      </c>
      <c r="K2">
        <f>SUM(G2:G10)</f>
        <v>437000</v>
      </c>
      <c r="L2">
        <f>SUMIF(G2:G10,"&gt;50000")</f>
        <v>128000</v>
      </c>
      <c r="M2">
        <f>SUMIFS(G2:G10,E2:E10,"Female",D2:D10,"&gt;30")</f>
        <v>88000</v>
      </c>
    </row>
    <row r="3" spans="1:13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11">
        <v>36436</v>
      </c>
      <c r="I3" s="12">
        <v>42287</v>
      </c>
    </row>
    <row r="4" spans="1:13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0">
        <v>63000</v>
      </c>
      <c r="H4" s="11">
        <v>36711</v>
      </c>
      <c r="I4" s="12">
        <v>42986</v>
      </c>
    </row>
    <row r="5" spans="1:13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11">
        <v>36530</v>
      </c>
      <c r="I5" s="12">
        <v>42341</v>
      </c>
    </row>
    <row r="6" spans="1:13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0">
        <v>50000</v>
      </c>
      <c r="H6" s="11">
        <v>37017</v>
      </c>
      <c r="I6" s="12">
        <v>42977</v>
      </c>
    </row>
    <row r="7" spans="1:13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0">
        <v>65000</v>
      </c>
      <c r="H7" s="11">
        <v>35040</v>
      </c>
      <c r="I7" s="12">
        <v>41528</v>
      </c>
    </row>
    <row r="8" spans="1:13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11">
        <v>37933</v>
      </c>
      <c r="I8" s="12">
        <v>41551</v>
      </c>
    </row>
    <row r="9" spans="1:13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0">
        <v>48000</v>
      </c>
      <c r="H9" s="11">
        <v>37416</v>
      </c>
      <c r="I9" s="12">
        <v>42116</v>
      </c>
    </row>
    <row r="10" spans="1:13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14">
        <v>42000</v>
      </c>
      <c r="H10" s="15">
        <v>37843</v>
      </c>
      <c r="I10" s="16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K2" sqref="K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7" t="s">
        <v>22</v>
      </c>
      <c r="H1" s="7" t="s">
        <v>36</v>
      </c>
      <c r="I1" s="8" t="s">
        <v>37</v>
      </c>
      <c r="K1" t="s">
        <v>77</v>
      </c>
      <c r="L1" t="s">
        <v>78</v>
      </c>
      <c r="M1" t="s">
        <v>79</v>
      </c>
    </row>
    <row r="2" spans="1:13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0">
        <v>45000</v>
      </c>
      <c r="H2" s="11">
        <v>37197</v>
      </c>
      <c r="I2" s="12">
        <v>42253</v>
      </c>
      <c r="K2">
        <f>COUNT(G2:G10)</f>
        <v>9</v>
      </c>
      <c r="L2">
        <f>COUNTIF(G2:G10,"&gt;45000")</f>
        <v>5</v>
      </c>
      <c r="M2">
        <f>COUNTIFS(A2:A10,"&gt;1005",E2:E10,"Male")</f>
        <v>3</v>
      </c>
    </row>
    <row r="3" spans="1:13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0">
        <v>36000</v>
      </c>
      <c r="H3" s="11">
        <v>36436</v>
      </c>
      <c r="I3" s="12">
        <v>42287</v>
      </c>
    </row>
    <row r="4" spans="1:13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0">
        <v>63000</v>
      </c>
      <c r="H4" s="11">
        <v>36711</v>
      </c>
      <c r="I4" s="12">
        <v>42986</v>
      </c>
    </row>
    <row r="5" spans="1:13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0">
        <v>47000</v>
      </c>
      <c r="H5" s="11">
        <v>36530</v>
      </c>
      <c r="I5" s="12">
        <v>42341</v>
      </c>
    </row>
    <row r="6" spans="1:13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0">
        <v>50000</v>
      </c>
      <c r="H6" s="11">
        <v>37017</v>
      </c>
      <c r="I6" s="12">
        <v>42977</v>
      </c>
    </row>
    <row r="7" spans="1:13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0">
        <v>65000</v>
      </c>
      <c r="H7" s="11">
        <v>35040</v>
      </c>
      <c r="I7" s="12">
        <v>41528</v>
      </c>
    </row>
    <row r="8" spans="1:13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0">
        <v>41000</v>
      </c>
      <c r="H8" s="11">
        <v>37933</v>
      </c>
      <c r="I8" s="12">
        <v>41551</v>
      </c>
    </row>
    <row r="9" spans="1:13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0">
        <v>48000</v>
      </c>
      <c r="H9" s="11">
        <v>37416</v>
      </c>
      <c r="I9" s="12">
        <v>42116</v>
      </c>
    </row>
    <row r="10" spans="1:13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14">
        <v>42000</v>
      </c>
      <c r="H10" s="15">
        <v>37843</v>
      </c>
      <c r="I10" s="16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O8" sqref="O8"/>
    </sheetView>
  </sheetViews>
  <sheetFormatPr defaultRowHeight="14.4" x14ac:dyDescent="0.3"/>
  <cols>
    <col min="1" max="9" width="13" customWidth="1"/>
  </cols>
  <sheetData>
    <row r="1" spans="1:13" x14ac:dyDescent="0.3">
      <c r="A1" s="6" t="s">
        <v>20</v>
      </c>
      <c r="B1" s="7" t="s">
        <v>0</v>
      </c>
      <c r="C1" s="7" t="s">
        <v>1</v>
      </c>
      <c r="D1" s="7" t="s">
        <v>23</v>
      </c>
      <c r="E1" s="7" t="s">
        <v>24</v>
      </c>
      <c r="F1" s="7" t="s">
        <v>21</v>
      </c>
      <c r="G1" s="18" t="s">
        <v>22</v>
      </c>
      <c r="H1" s="7" t="s">
        <v>36</v>
      </c>
      <c r="I1" s="8" t="s">
        <v>37</v>
      </c>
      <c r="K1" t="s">
        <v>82</v>
      </c>
      <c r="M1" t="s">
        <v>83</v>
      </c>
    </row>
    <row r="2" spans="1:13" x14ac:dyDescent="0.3">
      <c r="A2" s="9">
        <v>1001</v>
      </c>
      <c r="B2" s="10" t="s">
        <v>2</v>
      </c>
      <c r="C2" s="10" t="s">
        <v>3</v>
      </c>
      <c r="D2" s="10">
        <v>30</v>
      </c>
      <c r="E2" s="10" t="s">
        <v>26</v>
      </c>
      <c r="F2" s="10" t="s">
        <v>25</v>
      </c>
      <c r="G2" s="19">
        <v>45000</v>
      </c>
      <c r="H2" s="20" t="s">
        <v>48</v>
      </c>
      <c r="I2" s="21" t="s">
        <v>56</v>
      </c>
      <c r="K2">
        <f>_xlfn.DAYS(I2,H2)</f>
        <v>5056</v>
      </c>
      <c r="M2">
        <f>NETWORKDAYS(H2,I2)</f>
        <v>3611</v>
      </c>
    </row>
    <row r="3" spans="1:13" x14ac:dyDescent="0.3">
      <c r="A3" s="9">
        <v>1002</v>
      </c>
      <c r="B3" s="10" t="s">
        <v>4</v>
      </c>
      <c r="C3" s="10" t="s">
        <v>5</v>
      </c>
      <c r="D3" s="10">
        <v>30</v>
      </c>
      <c r="E3" s="10" t="s">
        <v>28</v>
      </c>
      <c r="F3" s="10" t="s">
        <v>27</v>
      </c>
      <c r="G3" s="19">
        <v>36000</v>
      </c>
      <c r="H3" s="20" t="s">
        <v>49</v>
      </c>
      <c r="I3" s="21" t="s">
        <v>57</v>
      </c>
      <c r="K3">
        <f t="shared" ref="K3:K10" si="0">_xlfn.DAYS(I3,H3)</f>
        <v>5851</v>
      </c>
      <c r="M3">
        <f t="shared" ref="M3:M10" si="1">NETWORKDAYS(H3,I3)</f>
        <v>4180</v>
      </c>
    </row>
    <row r="4" spans="1:13" x14ac:dyDescent="0.3">
      <c r="A4" s="9">
        <v>1003</v>
      </c>
      <c r="B4" s="10" t="s">
        <v>6</v>
      </c>
      <c r="C4" s="10" t="s">
        <v>7</v>
      </c>
      <c r="D4" s="10">
        <v>29</v>
      </c>
      <c r="E4" s="10" t="s">
        <v>26</v>
      </c>
      <c r="F4" s="10" t="s">
        <v>25</v>
      </c>
      <c r="G4" s="19">
        <v>63000</v>
      </c>
      <c r="H4" s="20" t="s">
        <v>50</v>
      </c>
      <c r="I4" s="21" t="s">
        <v>58</v>
      </c>
      <c r="K4">
        <f t="shared" si="0"/>
        <v>6275</v>
      </c>
      <c r="M4">
        <f t="shared" si="1"/>
        <v>4484</v>
      </c>
    </row>
    <row r="5" spans="1:13" x14ac:dyDescent="0.3">
      <c r="A5" s="9">
        <v>1004</v>
      </c>
      <c r="B5" s="10" t="s">
        <v>13</v>
      </c>
      <c r="C5" s="10" t="s">
        <v>12</v>
      </c>
      <c r="D5" s="10">
        <v>31</v>
      </c>
      <c r="E5" s="10" t="s">
        <v>28</v>
      </c>
      <c r="F5" s="10" t="s">
        <v>29</v>
      </c>
      <c r="G5" s="19">
        <v>47000</v>
      </c>
      <c r="H5" s="20" t="s">
        <v>51</v>
      </c>
      <c r="I5" s="21" t="s">
        <v>59</v>
      </c>
      <c r="K5">
        <f t="shared" si="0"/>
        <v>5811</v>
      </c>
      <c r="M5">
        <f t="shared" si="1"/>
        <v>4152</v>
      </c>
    </row>
    <row r="6" spans="1:13" x14ac:dyDescent="0.3">
      <c r="A6" s="9">
        <v>1005</v>
      </c>
      <c r="B6" s="10" t="s">
        <v>14</v>
      </c>
      <c r="C6" s="10" t="s">
        <v>15</v>
      </c>
      <c r="D6" s="10">
        <v>32</v>
      </c>
      <c r="E6" s="10" t="s">
        <v>26</v>
      </c>
      <c r="F6" s="10" t="s">
        <v>30</v>
      </c>
      <c r="G6" s="19">
        <v>50000</v>
      </c>
      <c r="H6" s="20" t="s">
        <v>52</v>
      </c>
      <c r="I6" s="21" t="s">
        <v>60</v>
      </c>
      <c r="K6">
        <f t="shared" si="0"/>
        <v>5960</v>
      </c>
      <c r="M6">
        <f t="shared" si="1"/>
        <v>4258</v>
      </c>
    </row>
    <row r="7" spans="1:13" x14ac:dyDescent="0.3">
      <c r="A7" s="9">
        <v>1006</v>
      </c>
      <c r="B7" s="10" t="s">
        <v>8</v>
      </c>
      <c r="C7" s="10" t="s">
        <v>9</v>
      </c>
      <c r="D7" s="10">
        <v>35</v>
      </c>
      <c r="E7" s="10" t="s">
        <v>26</v>
      </c>
      <c r="F7" s="10" t="s">
        <v>31</v>
      </c>
      <c r="G7" s="19">
        <v>65000</v>
      </c>
      <c r="H7" s="20" t="s">
        <v>52</v>
      </c>
      <c r="I7" s="21" t="s">
        <v>61</v>
      </c>
      <c r="K7">
        <f t="shared" si="0"/>
        <v>4511</v>
      </c>
      <c r="M7">
        <f t="shared" si="1"/>
        <v>3223</v>
      </c>
    </row>
    <row r="8" spans="1:13" x14ac:dyDescent="0.3">
      <c r="A8" s="9">
        <v>1007</v>
      </c>
      <c r="B8" s="10" t="s">
        <v>33</v>
      </c>
      <c r="C8" s="10" t="s">
        <v>34</v>
      </c>
      <c r="D8" s="10">
        <v>32</v>
      </c>
      <c r="E8" s="10" t="s">
        <v>28</v>
      </c>
      <c r="F8" s="10" t="s">
        <v>32</v>
      </c>
      <c r="G8" s="19">
        <v>41000</v>
      </c>
      <c r="H8" s="20" t="s">
        <v>53</v>
      </c>
      <c r="I8" s="21" t="s">
        <v>61</v>
      </c>
      <c r="K8">
        <f t="shared" si="0"/>
        <v>3595</v>
      </c>
      <c r="M8">
        <f t="shared" si="1"/>
        <v>2568</v>
      </c>
    </row>
    <row r="9" spans="1:13" x14ac:dyDescent="0.3">
      <c r="A9" s="9">
        <v>1008</v>
      </c>
      <c r="B9" s="10" t="s">
        <v>16</v>
      </c>
      <c r="C9" s="10" t="s">
        <v>17</v>
      </c>
      <c r="D9" s="10">
        <v>38</v>
      </c>
      <c r="E9" s="10" t="s">
        <v>26</v>
      </c>
      <c r="F9" s="10" t="s">
        <v>25</v>
      </c>
      <c r="G9" s="19">
        <v>48000</v>
      </c>
      <c r="H9" s="20" t="s">
        <v>54</v>
      </c>
      <c r="I9" s="21" t="s">
        <v>62</v>
      </c>
      <c r="K9">
        <f t="shared" si="0"/>
        <v>4700</v>
      </c>
      <c r="M9">
        <f t="shared" si="1"/>
        <v>3358</v>
      </c>
    </row>
    <row r="10" spans="1:13" x14ac:dyDescent="0.3">
      <c r="A10" s="13">
        <v>1009</v>
      </c>
      <c r="B10" s="14" t="s">
        <v>10</v>
      </c>
      <c r="C10" s="14" t="s">
        <v>11</v>
      </c>
      <c r="D10" s="14">
        <v>31</v>
      </c>
      <c r="E10" s="14" t="s">
        <v>26</v>
      </c>
      <c r="F10" s="14" t="s">
        <v>29</v>
      </c>
      <c r="G10" s="22">
        <v>42000</v>
      </c>
      <c r="H10" s="23" t="s">
        <v>55</v>
      </c>
      <c r="I10" s="24" t="s">
        <v>62</v>
      </c>
      <c r="K10">
        <f t="shared" si="0"/>
        <v>4273</v>
      </c>
      <c r="M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ASUS</cp:lastModifiedBy>
  <dcterms:created xsi:type="dcterms:W3CDTF">2021-12-16T14:18:34Z</dcterms:created>
  <dcterms:modified xsi:type="dcterms:W3CDTF">2025-11-23T00:22:14Z</dcterms:modified>
</cp:coreProperties>
</file>